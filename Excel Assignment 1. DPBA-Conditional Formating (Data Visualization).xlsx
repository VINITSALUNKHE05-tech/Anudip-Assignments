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Documents/Anudip Faundation Labs/"/>
    </mc:Choice>
  </mc:AlternateContent>
  <xr:revisionPtr revIDLastSave="1" documentId="13_ncr:1_{827276D9-7A3C-4FEB-B344-EF217C6E701D}" xr6:coauthVersionLast="47" xr6:coauthVersionMax="47" xr10:uidLastSave="{DA5AC9A6-9BE9-455B-9CCA-4191BA2D4563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3" sheetId="4" r:id="rId3"/>
    <sheet name="Sheet4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2" l="1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</calcChain>
</file>

<file path=xl/sharedStrings.xml><?xml version="1.0" encoding="utf-8"?>
<sst xmlns="http://schemas.openxmlformats.org/spreadsheetml/2006/main" count="481" uniqueCount="118">
  <si>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</si>
  <si>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</si>
  <si>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</si>
  <si>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</si>
  <si>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</si>
  <si>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</si>
  <si>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</si>
  <si>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</si>
  <si>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</si>
  <si>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</si>
  <si>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</si>
  <si>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Order_ID</t>
  </si>
  <si>
    <t>Category</t>
  </si>
  <si>
    <t>Quantity</t>
  </si>
  <si>
    <t>Unit_Price</t>
  </si>
  <si>
    <t>Total_Sales</t>
  </si>
  <si>
    <t>Salesperson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</si>
  <si>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</si>
  <si>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</si>
  <si>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</si>
  <si>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</si>
  <si>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</si>
  <si>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</si>
  <si>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</si>
  <si>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</si>
  <si>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</si>
  <si>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</si>
  <si>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</si>
  <si>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</si>
  <si>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</si>
  <si>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</si>
  <si>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</si>
  <si>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</si>
  <si>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</si>
  <si>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</si>
  <si>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</si>
  <si>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</si>
  <si>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</si>
  <si>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</si>
  <si>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</si>
  <si>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</si>
  <si>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</si>
  <si>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</si>
  <si>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</si>
  <si>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</si>
  <si>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</si>
  <si>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</si>
  <si>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</si>
  <si>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</si>
  <si>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</si>
  <si>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</si>
  <si>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</si>
  <si>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</si>
  <si>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</si>
  <si>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</si>
  <si>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</si>
  <si>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</si>
  <si>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</si>
  <si>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</si>
  <si>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</si>
  <si>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</si>
  <si>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</si>
  <si>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</si>
  <si>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</si>
  <si>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</si>
  <si>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</si>
  <si>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</si>
  <si>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</si>
  <si>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</si>
  <si>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</si>
  <si>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</si>
  <si>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</si>
  <si>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</si>
  <si>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</si>
  <si>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</si>
  <si>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</si>
  <si>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</si>
  <si>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</si>
  <si>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</si>
  <si>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</si>
  <si>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</si>
  <si>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</si>
  <si>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</si>
  <si>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</si>
  <si>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</si>
  <si>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</si>
  <si>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</si>
  <si>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</si>
  <si>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</si>
  <si>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</si>
  <si>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</si>
  <si>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</si>
  <si>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</si>
  <si>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</si>
  <si>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</si>
  <si>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</si>
  <si>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</si>
  <si>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</si>
  <si>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</si>
  <si>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</si>
  <si>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</si>
  <si>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</si>
  <si>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</si>
  <si>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</si>
  <si>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</si>
  <si>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</si>
  <si>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</si>
  <si>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</si>
  <si>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</si>
  <si>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</si>
  <si>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</si>
  <si>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</si>
  <si>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</si>
  <si>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</si>
  <si>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</si>
  <si>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>Gaurav Jadhav</t>
  </si>
  <si>
    <t>ORD1001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</si>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</sst>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yyyy\-mm\-dd\ h:mm:ss"/>
  </numFmts>
  <fonts count="1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u/>
      <sz val="10"/>
      <color rgb="FF1155CC"/>
      <name val="Arial"/>
      <family val="2"/>
    </font>
    <font>
      <sz val="10"/>
      <color rgb="FF000000"/>
      <name val="Arial"/>
      <scheme val="minor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3" fillId="5" borderId="6" applyNumberFormat="0" applyFont="0" applyAlignment="0" applyProtection="0"/>
  </cellStyleXfs>
  <cellXfs count="3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22" fontId="0" fillId="0" borderId="0" xfId="0" applyNumberFormat="1"/>
    <xf numFmtId="0" fontId="9" fillId="0" borderId="0" xfId="0" applyFont="1" applyAlignment="1">
      <alignment horizontal="left" vertical="center" indent="3"/>
    </xf>
    <xf numFmtId="0" fontId="10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5" borderId="6" xfId="1" applyFont="1" applyAlignment="1">
      <alignment horizontal="center"/>
    </xf>
    <xf numFmtId="0" fontId="2" fillId="0" borderId="0" xfId="0" applyFont="1"/>
    <xf numFmtId="0" fontId="0" fillId="0" borderId="0" xfId="0"/>
    <xf numFmtId="0" fontId="11" fillId="0" borderId="0" xfId="0" applyFont="1"/>
  </cellXfs>
  <cellStyles count="2">
    <cellStyle name="Normal" xfId="0" builtinId="0"/>
    <cellStyle name="Note" xfId="1" builtinId="10"/>
  </cellStyles>
  <dxfs count="29">
    <dxf>
      <fill>
        <patternFill>
          <bgColor rgb="FFCCFF33"/>
        </patternFill>
      </fill>
    </dxf>
    <dxf>
      <fill>
        <patternFill>
          <bgColor rgb="FFCCFF33"/>
        </patternFill>
      </fill>
    </dxf>
    <dxf>
      <fill>
        <patternFill>
          <bgColor rgb="FFC0C0C0"/>
        </patternFill>
      </fill>
    </dxf>
    <dxf>
      <fill>
        <patternFill>
          <bgColor rgb="FFCCFF33"/>
        </patternFill>
      </fill>
    </dxf>
    <dxf>
      <fill>
        <patternFill>
          <bgColor rgb="FFCCFF33"/>
        </patternFill>
      </fill>
    </dxf>
    <dxf>
      <fill>
        <patternFill>
          <bgColor rgb="FFFF9999"/>
        </patternFill>
      </fill>
    </dxf>
    <dxf>
      <fill>
        <patternFill>
          <bgColor rgb="FFFF6600"/>
        </patternFill>
      </fill>
    </dxf>
    <dxf>
      <fill>
        <patternFill>
          <bgColor theme="0" tint="-0.499984740745262"/>
        </patternFill>
      </fill>
    </dxf>
    <dxf>
      <fill>
        <patternFill>
          <bgColor rgb="FFCCFF66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rgb="FF00FF00"/>
        </patternFill>
      </fill>
    </dxf>
    <dxf>
      <fill>
        <patternFill>
          <bgColor rgb="FFFFCC0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00"/>
        </patternFill>
      </fill>
    </dxf>
    <dxf>
      <fill>
        <patternFill>
          <bgColor rgb="FFFFFFCC"/>
        </patternFill>
      </fill>
    </dxf>
    <dxf>
      <fill>
        <patternFill>
          <bgColor rgb="FFFF3300"/>
        </patternFill>
      </fill>
    </dxf>
    <dxf>
      <fill>
        <patternFill>
          <bgColor rgb="FFB2B2B2"/>
        </patternFill>
      </fill>
    </dxf>
    <dxf>
      <fill>
        <patternFill>
          <bgColor rgb="FFFF9933"/>
        </patternFill>
      </fill>
    </dxf>
    <dxf>
      <fill>
        <patternFill>
          <bgColor rgb="FF009900"/>
        </patternFill>
      </fill>
    </dxf>
    <dxf>
      <fill>
        <patternFill>
          <bgColor rgb="FF66FFFF"/>
        </patternFill>
      </fill>
    </dxf>
    <dxf>
      <fill>
        <patternFill>
          <bgColor rgb="FFCC9900"/>
        </patternFill>
      </fill>
    </dxf>
    <dxf>
      <fill>
        <patternFill>
          <bgColor rgb="FF99CC00"/>
        </patternFill>
      </fill>
    </dxf>
    <dxf>
      <fill>
        <patternFill>
          <bgColor rgb="FFCCCC00"/>
        </patternFill>
      </fill>
    </dxf>
    <dxf>
      <fill>
        <patternFill>
          <bgColor rgb="FF666633"/>
        </patternFill>
      </fill>
    </dxf>
    <dxf>
      <fill>
        <patternFill>
          <bgColor rgb="FFFFFF00"/>
        </patternFill>
      </fill>
    </dxf>
    <dxf>
      <fill>
        <patternFill>
          <bgColor rgb="FFFF9933"/>
        </patternFill>
      </fill>
    </dxf>
    <dxf>
      <fill>
        <patternFill>
          <bgColor rgb="FFCC3300"/>
        </patternFill>
      </fill>
    </dxf>
    <dxf>
      <fill>
        <patternFill>
          <bgColor rgb="FFCC9900"/>
        </patternFill>
      </fill>
    </dxf>
  </dxfs>
  <tableStyles count="0" defaultTableStyle="TableStyleMedium2" defaultPivotStyle="PivotStyleLight16"/>
  <colors>
    <mruColors>
      <color rgb="FFC0C0C0"/>
      <color rgb="FFCC3300"/>
      <color rgb="FFCC9900"/>
      <color rgb="FFCCCC00"/>
      <color rgb="FFCCFF33"/>
      <color rgb="FFFF9933"/>
      <color rgb="FFFF6600"/>
      <color rgb="FFFFCC00"/>
      <color rgb="FFFFCC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69338</xdr:colOff>
      <xdr:row>11</xdr:row>
      <xdr:rowOff>18674</xdr:rowOff>
    </xdr:from>
    <xdr:to>
      <xdr:col>9</xdr:col>
      <xdr:colOff>831102</xdr:colOff>
      <xdr:row>48</xdr:row>
      <xdr:rowOff>177427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01B0D1-87BD-42DA-02C4-004CF8FC1506}"/>
            </a:ext>
          </a:extLst>
        </xdr:cNvPr>
        <xdr:cNvSpPr/>
      </xdr:nvSpPr>
      <xdr:spPr>
        <a:xfrm>
          <a:off x="69338" y="2082424"/>
          <a:ext cx="8325735" cy="7358532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atin typeface="Bahnschrift SemiBold" panose="020B0502040204020203" pitchFamily="34" charset="0"/>
            </a:rPr>
            <a:t>Q.1. Apply conditional formatting to highlight cells in the Sales column (D) with values greater than or equal to 150.</a:t>
          </a:r>
        </a:p>
        <a:p>
          <a:pPr algn="l"/>
          <a:r>
            <a:rPr lang="en-IN" sz="1100">
              <a:latin typeface="Bahnschrift SemiBold" panose="020B0502040204020203" pitchFamily="34" charset="0"/>
            </a:rPr>
            <a:t>Answer</a:t>
          </a:r>
          <a:r>
            <a:rPr lang="en-IN" sz="1100" baseline="0">
              <a:latin typeface="Bahnschrift SemiBold" panose="020B0502040204020203" pitchFamily="34" charset="0"/>
            </a:rPr>
            <a:t> -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steps 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I. Select the sales Column ( D2:D9 )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II. Go to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Home → Conditional Formatting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III. Click Highlight Cells Rules → Greater Than and Enter the values 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IV.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V.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Click Ok.</a:t>
          </a:r>
        </a:p>
        <a:p>
          <a:pPr algn="l"/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Q.2. Apply conditional formatting to highlight the entire row for entries where the Product is "Product A".</a:t>
          </a:r>
        </a:p>
        <a:p>
          <a:pPr algn="l"/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Answer -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 I. </a:t>
          </a:r>
          <a:r>
            <a:rPr lang="en-IN"/>
            <a:t>Select the complete table: (</a:t>
          </a:r>
          <a:r>
            <a:rPr lang="en-IN" baseline="0"/>
            <a:t> A2:D9 )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 II. Go to </a:t>
          </a:r>
          <a:r>
            <a:rPr lang="en-IN"/>
            <a:t>Home → Conditional Formatting → New Rule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III.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choose: </a:t>
          </a:r>
          <a:r>
            <a:rPr lang="en-IN"/>
            <a:t>Use a formula to determine which cells to format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IV.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Enter a Formula : ( =$A2="Product A" )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 V. </a:t>
          </a:r>
          <a:r>
            <a:rPr lang="en-IN"/>
            <a:t>Choose formatting color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VI.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Click Ok.</a:t>
          </a:r>
        </a:p>
        <a:p>
          <a:pPr algn="l"/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Q.3. Apply conditional formatting to highlight cells in the Date column (C) that fall within January 2024.</a:t>
          </a:r>
        </a:p>
        <a:p>
          <a:pPr algn="l"/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Select Date column: ( C2:C9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)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II. Go to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Home → Conditional Formatting → New Rule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III. Choose: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Use a formula to determine which cells to format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IV. Enter Formula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: (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=AND(C2&gt;=DATE(2024,1,1),C2&lt;=DATE(2024,1,31)) )</a:t>
          </a:r>
        </a:p>
        <a:p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V.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VI.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</a:t>
          </a:r>
        </a:p>
        <a:p>
          <a:endParaRPr lang="en-IN" sz="110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Cambria" panose="02040503050406030204" pitchFamily="18" charset="0"/>
              <a:cs typeface="+mn-cs"/>
            </a:rPr>
            <a:t>Q.4. Apply conditional formatting to highlight the top 3 sales values in the Sales column (D).</a:t>
          </a:r>
        </a:p>
        <a:p>
          <a:r>
            <a:rPr lang="en-IN" sz="110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Cambria" panose="02040503050406030204" pitchFamily="18" charset="0"/>
              <a:cs typeface="+mn-cs"/>
            </a:rPr>
            <a:t>Answer -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I. Select the sales Column ( D2:D9 )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Go to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Top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Bottom Rule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Enter the Values </a:t>
          </a:r>
        </a:p>
        <a:p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</a:t>
          </a:r>
        </a:p>
        <a:p>
          <a:endParaRPr lang="en-IN" sz="110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r>
            <a:rPr lang="en-IN">
              <a:effectLst/>
              <a:latin typeface="Bahnschrift SemiBold" panose="020B0502040204020203" pitchFamily="34" charset="0"/>
              <a:ea typeface="Cambria" panose="02040503050406030204" pitchFamily="18" charset="0"/>
            </a:rPr>
            <a:t>Q.5. Apply conditional formatting to highlight sales for "Product B" in the "North" region.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  <a:latin typeface="Bahnschrift SemiBold" panose="020B0502040204020203" pitchFamily="34" charset="0"/>
            </a:rPr>
            <a:t>Answer - </a:t>
          </a:r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Steps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I. Select the Entir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Rows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(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A2:D9 )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II.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Go to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III.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Enter formula: ( =AND($A2="Product B",$B2="North") )</a:t>
          </a:r>
        </a:p>
        <a:p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IV.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</a:p>
        <a:p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V.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Click Ok.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>
            <a:latin typeface="Bahnschrift SemiBold" panose="020B0502040204020203" pitchFamily="34" charset="0"/>
            <a:ea typeface="Cambria" panose="020405030504060302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99392</xdr:colOff>
      <xdr:row>44</xdr:row>
      <xdr:rowOff>16566</xdr:rowOff>
    </xdr:from>
    <xdr:to>
      <xdr:col>8</xdr:col>
      <xdr:colOff>895350</xdr:colOff>
      <xdr:row>113</xdr:row>
      <xdr:rowOff>171451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0F34E9-F6B2-A944-11E3-CCB269F3AAA8}"/>
            </a:ext>
          </a:extLst>
        </xdr:cNvPr>
        <xdr:cNvSpPr/>
      </xdr:nvSpPr>
      <xdr:spPr>
        <a:xfrm>
          <a:off x="99392" y="8608116"/>
          <a:ext cx="8301658" cy="1395661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Q.1.</a:t>
          </a:r>
          <a:r>
            <a:rPr lang="en-IN" sz="1100" b="0" baseline="0"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1100" b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Highlight all Total_Sales &gt; 500000 in the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Total_Sales </a:t>
          </a:r>
          <a:r>
            <a:rPr lang="en-IN" sz="1100" b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column.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- 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Select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the </a:t>
          </a:r>
          <a:r>
            <a:rPr lang="en-IN" sz="1100" b="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Total_Sales </a:t>
          </a:r>
          <a:r>
            <a:rPr lang="en-IN" sz="1100" b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column (H2:H41)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Go to the Conditional Formating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Select Cell Rules and then select Greater than rule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Apply the Greater than value and Fill the Colour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Click ok.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Q.2. Apply color to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Unit_Price &lt; 10000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Select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the </a:t>
          </a:r>
          <a:r>
            <a:rPr lang="en-IN" sz="1100" b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Unit_Price column (G2:G41)</a:t>
          </a: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II.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 to the Conditional Formating</a:t>
          </a:r>
          <a:endParaRPr lang="en-IN" sz="110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III.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Select Cell Rules and then select Less than rule 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IV.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Apply the Less than value and Fill the Colour 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V.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ok.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 baseline="0"/>
        </a:p>
        <a:p>
          <a:pPr algn="l"/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Q.3.</a:t>
          </a:r>
          <a:r>
            <a:rPr lang="en-IN" sz="110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cells in </a:t>
          </a:r>
          <a:r>
            <a:rPr lang="en-IN" sz="1100" i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Quantity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where value is </a:t>
          </a:r>
          <a:r>
            <a:rPr lang="en-IN" sz="1100" b="1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greater than average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</a:t>
          </a:r>
        </a:p>
        <a:p>
          <a:pPr algn="l"/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algn="l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Select the Quantity column (F2:F41) to find the Average ( Formula: =AVERAGE(F2:F41) )</a:t>
          </a:r>
        </a:p>
        <a:p>
          <a:pPr algn="l"/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 to the Conditional Formating</a:t>
          </a:r>
        </a:p>
        <a:p>
          <a:pPr algn="l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Select Cell Rules and then select Greater than rule </a:t>
          </a:r>
        </a:p>
        <a:p>
          <a:pPr algn="l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VI. Apply the Greater than value and Fill the Colour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Click ok.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Cambria" panose="02040503050406030204" pitchFamily="18" charset="0"/>
              <a:cs typeface="+mn-cs"/>
            </a:rPr>
            <a:t>Q.4.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conditional formatting to show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duplicate Order_IDs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b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</a:t>
          </a: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I. Select the </a:t>
          </a:r>
          <a:r>
            <a:rPr lang="en-IN" sz="1100" b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Order_IDs column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(A2:A41)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Go to the Conditional Formating</a:t>
          </a:r>
          <a:endParaRPr lang="en-IN" sz="1100" b="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III. Select the Cell Rule</a:t>
          </a:r>
          <a:r>
            <a:rPr lang="en-IN" b="0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and select Duplicate Values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IV. Fill the Colour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V. Click ok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.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>
            <a:latin typeface="Bahnschrift SemiBold" panose="020B0502040204020203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Bahnschrift SemiBold" panose="020B0502040204020203" pitchFamily="34" charset="0"/>
            </a:rPr>
            <a:t>Q.5.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blank cells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in the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Salesperson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column.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</a:t>
          </a:r>
          <a:r>
            <a:rPr lang="en-IN" sz="11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Select the Salesperson Column (I2:I41)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Go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Conditional Formatting and Select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New Rule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Choose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/>
            <a:t>Use a formula to determine which cells to format</a:t>
          </a: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IV. Enter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Formula : ( =ISBLANK(I2) )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V.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VI. Click ok. </a:t>
          </a:r>
        </a:p>
        <a:p>
          <a:pPr algn="l"/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Q.6.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formatting if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Product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contains the word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"Laptop"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algn="l"/>
          <a:r>
            <a:rPr lang="en-IN" sz="110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I. Select the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Product Column (E2:E41)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and Select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III. Choose: Use a formula to determine which cells to format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IV. Enter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Formula : ( =ISNUMBER(SEARCH("Laptop",A2)) )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V.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VI. Click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ok.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Q.7.Highlight top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10 highest values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in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Total_Sales.  </a:t>
          </a:r>
          <a:endParaRPr lang="en-IN" sz="1100" i="0" u="none" strike="noStrike">
            <a:solidFill>
              <a:schemeClr val="dk1"/>
            </a:solidFill>
            <a:effectLst/>
            <a:latin typeface="Bahnschrift SemiBold" panose="020B0502040204020203" pitchFamily="34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</a:t>
          </a: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Select the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Total_Sales Column (H2:H41)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Select</a:t>
          </a: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the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Top/Bottom Rules and then select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Top 10 Items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</a:t>
          </a: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V.</a:t>
          </a: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i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Q.8. Apply color scale (gradient) on </a:t>
          </a:r>
          <a:r>
            <a:rPr lang="en-IN" sz="1100" i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Total_Sales.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Select the Total_Sales Column (H2:H41)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Click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Color Scales</a:t>
          </a:r>
        </a:p>
        <a:p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any gradient style:</a:t>
          </a:r>
        </a:p>
        <a:p>
          <a:pPr algn="l"/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                          Ex.,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Green → Yellow → Red</a:t>
          </a:r>
        </a:p>
        <a:p>
          <a:pPr algn="l"/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                    V.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Excel automatically applies the gradient.</a:t>
          </a:r>
        </a:p>
        <a:p>
          <a:pPr algn="l"/>
          <a:endParaRPr lang="en-IN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Q.9.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values in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Quantity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between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5 and 8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algn="l"/>
          <a:r>
            <a:rPr lang="en-IN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I. Select the Quantity Column (F2:F41)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</a:t>
          </a:r>
        </a:p>
        <a:p>
          <a:pPr algn="l"/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                    III.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Choose Cells Rule and Select Between Rule 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IV. Set the Between Values and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</a:p>
        <a:p>
          <a:pPr algn="l"/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V.</a:t>
          </a: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</a:t>
          </a:r>
        </a:p>
        <a:p>
          <a:pPr algn="l"/>
          <a:endParaRPr lang="en-IN" sz="1100" i="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Q.10. Highlight cells where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Category = "Electronics</a:t>
          </a:r>
          <a:r>
            <a:rPr lang="en-IN" sz="1100" i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"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algn="l"/>
          <a:r>
            <a:rPr lang="en-IN" baseline="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Steps 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I. Select the Category column (D2:D41)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Choose: Cells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Rule and Select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Text that Contains </a:t>
          </a:r>
        </a:p>
        <a:p>
          <a:pPr algn="l"/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                    IV. Choose formatting color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</a:t>
          </a: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V.</a:t>
          </a: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/>
        </a:p>
        <a:p>
          <a:pPr algn="l"/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151572</xdr:colOff>
      <xdr:row>44</xdr:row>
      <xdr:rowOff>9110</xdr:rowOff>
    </xdr:from>
    <xdr:to>
      <xdr:col>8</xdr:col>
      <xdr:colOff>838200</xdr:colOff>
      <xdr:row>128</xdr:row>
      <xdr:rowOff>152399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344EA8-6917-481B-AA4F-84DCB3C669BA}"/>
            </a:ext>
          </a:extLst>
        </xdr:cNvPr>
        <xdr:cNvSpPr/>
      </xdr:nvSpPr>
      <xdr:spPr>
        <a:xfrm>
          <a:off x="151572" y="8479191"/>
          <a:ext cx="8736789" cy="1390845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Q.1.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entire row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Total_Sales &gt; 400000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  <a:r>
            <a:rPr lang="en-IN" sz="1100" b="0" baseline="0"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- 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 Select the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 sz="1100" b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Home → Conditional Formatting → New Rule</a:t>
          </a:r>
          <a:endParaRPr lang="en-IN" sz="1100" b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Use a formula to determine which cells to format ( Formula: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=$H2&gt;400000 )</a:t>
          </a:r>
          <a:endParaRPr lang="en-IN" sz="1100" b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  <a:endParaRPr lang="en-IN" sz="1100" b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Click </a:t>
          </a:r>
          <a:r>
            <a:rPr lang="en-IN" b="1">
              <a:latin typeface="Cambria" panose="02040503050406030204" pitchFamily="18" charset="0"/>
              <a:ea typeface="Cambria" panose="02040503050406030204" pitchFamily="18" charset="0"/>
            </a:rPr>
            <a:t>OK</a:t>
          </a:r>
          <a:endParaRPr lang="en-IN" sz="1100" b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Q.2. Highlight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Region = "North"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=$C2="North" 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Q.3.</a:t>
          </a:r>
          <a:r>
            <a:rPr lang="en-IN" sz="110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formatting to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Quantity &lt; 3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  <a:endParaRPr lang="en-IN" sz="1100" baseline="0">
            <a:solidFill>
              <a:schemeClr val="dk1"/>
            </a:solidFill>
            <a:effectLst/>
            <a:latin typeface="Bahnschrift SemiBold" panose="020B0502040204020203" pitchFamily="34" charset="0"/>
            <a:ea typeface="+mn-ea"/>
            <a:cs typeface="+mn-cs"/>
          </a:endParaRPr>
        </a:p>
        <a:p>
          <a:pPr algn="l"/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=$D2&lt;3 )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Cambria" panose="02040503050406030204" pitchFamily="18" charset="0"/>
              <a:cs typeface="+mn-cs"/>
            </a:rPr>
            <a:t>Q.4.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Product = "Mobile" AND Quantity &gt; 5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b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=AND($E2="Mobile",$F2&gt;5) 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>
            <a:latin typeface="Bahnschrift SemiBold" panose="020B0502040204020203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Bahnschrift SemiBold" panose="020B0502040204020203" pitchFamily="34" charset="0"/>
            </a:rPr>
            <a:t>Q.5.</a:t>
          </a:r>
          <a:r>
            <a:rPr lang="en-IN" sz="1100" baseline="0">
              <a:latin typeface="Bahnschrift SemiBold" panose="020B0502040204020203" pitchFamily="34" charset="0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entire row if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Unit_Price &gt; 50000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</a:t>
          </a:r>
          <a:r>
            <a:rPr lang="en-IN" sz="11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eaLnBrk="1" fontAlgn="auto" latinLnBrk="0" hangingPunct="1"/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/>
            <a:t>=$G2&gt;50000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Q.6.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formatting to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Salesperson = "Amit"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algn="l"/>
          <a:r>
            <a:rPr lang="en-IN" sz="110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</a:p>
        <a:p>
          <a:pPr eaLnBrk="1" fontAlgn="auto" latinLnBrk="0" hangingPunct="1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=$I2="Amit"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Q.7. 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rows where </a:t>
          </a:r>
          <a:r>
            <a:rPr lang="en-IN" sz="1100" b="1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Date is in last 30 days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</a:t>
          </a:r>
          <a:endParaRPr lang="en-IN" sz="1100" u="none" strike="noStrike">
            <a:solidFill>
              <a:schemeClr val="dk1"/>
            </a:solidFill>
            <a:effectLst/>
            <a:latin typeface="Bahnschrift SemiBold" panose="020B0502040204020203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 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=$H2=MAX($H$2:$H$41)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=B2&gt;=TODAY()-30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i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Q.8.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Total_Sales is maximum in dataset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  <a:endParaRPr lang="en-IN" sz="1100">
            <a:solidFill>
              <a:schemeClr val="dk1"/>
            </a:solidFill>
            <a:effectLst/>
            <a:latin typeface="Bahnschrift SemiBold" panose="020B0502040204020203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 =$H2=MAX($H$2:$H$41)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Q.9.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formatting if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Category = "Accessories" AND Total_Sales &lt; 100000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  <a:endParaRPr lang="en-IN" sz="1100" u="none" strike="noStrike" baseline="0">
            <a:solidFill>
              <a:schemeClr val="dk1"/>
            </a:solidFill>
            <a:effectLst/>
            <a:latin typeface="Bahnschrift SemiBold" panose="020B0502040204020203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 =AND($D2="Accessories",$H2&lt;100000)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 i="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Q.10. Highlight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Quantity * Unit_Price ≠ Total_Sales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(data validation scenario). </a:t>
          </a:r>
        </a:p>
        <a:p>
          <a:pPr algn="l"/>
          <a:r>
            <a:rPr lang="en-IN" baseline="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Steps 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 =$F2*$G2&lt;&gt;$H2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/>
        </a:p>
        <a:p>
          <a:pPr algn="l"/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7"/>
  <sheetViews>
    <sheetView tabSelected="1" topLeftCell="A16" zoomScale="102" zoomScaleNormal="127" workbookViewId="0">
      <selection activeCell="G8" sqref="G8"/>
    </sheetView>
  </sheetViews>
  <sheetFormatPr defaultColWidth="12.5703125" defaultRowHeight="15.75" customHeight="1" x14ac:dyDescent="0.2"/>
  <sheetData>
    <row r="1" spans="1:18" ht="15" x14ac:dyDescent="0.25">
      <c r="A1" s="27" t="s">
        <v>0</v>
      </c>
      <c r="B1" s="27" t="s">
        <v>1</v>
      </c>
      <c r="C1" s="27" t="s">
        <v>2</v>
      </c>
      <c r="D1" s="27" t="s">
        <v>3</v>
      </c>
      <c r="E1" s="1"/>
      <c r="F1" s="1"/>
      <c r="G1" s="1"/>
      <c r="H1" s="1"/>
      <c r="I1" s="1"/>
    </row>
    <row r="2" spans="1:18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  <c r="E2" s="1"/>
      <c r="F2" s="1"/>
      <c r="G2" s="1"/>
      <c r="H2" s="1"/>
      <c r="I2" s="1"/>
    </row>
    <row r="3" spans="1:18" ht="15" x14ac:dyDescent="0.25">
      <c r="A3" s="2" t="s">
        <v>6</v>
      </c>
      <c r="B3" s="2" t="s">
        <v>7</v>
      </c>
      <c r="C3" s="3">
        <v>45323</v>
      </c>
      <c r="D3" s="2">
        <v>150</v>
      </c>
      <c r="E3" s="1"/>
      <c r="F3" s="1"/>
      <c r="G3" s="1"/>
      <c r="H3" s="1"/>
      <c r="I3" s="1"/>
    </row>
    <row r="4" spans="1:18" ht="15" x14ac:dyDescent="0.25">
      <c r="A4" s="2" t="s">
        <v>4</v>
      </c>
      <c r="B4" s="2" t="s">
        <v>8</v>
      </c>
      <c r="C4" s="3">
        <v>45352</v>
      </c>
      <c r="D4" s="2">
        <v>200</v>
      </c>
      <c r="E4" s="1"/>
      <c r="F4" s="1"/>
      <c r="G4" s="1"/>
      <c r="H4" s="1"/>
      <c r="I4" s="1"/>
    </row>
    <row r="5" spans="1:18" ht="15" x14ac:dyDescent="0.25">
      <c r="A5" s="2" t="s">
        <v>9</v>
      </c>
      <c r="B5" s="2" t="s">
        <v>10</v>
      </c>
      <c r="C5" s="3">
        <v>45383</v>
      </c>
      <c r="D5" s="2">
        <v>90</v>
      </c>
      <c r="E5" s="1"/>
      <c r="F5" s="1"/>
      <c r="G5" s="1"/>
      <c r="H5" s="1"/>
      <c r="I5" s="1"/>
    </row>
    <row r="6" spans="1:18" ht="15" x14ac:dyDescent="0.25">
      <c r="A6" s="2" t="s">
        <v>6</v>
      </c>
      <c r="B6" s="2" t="s">
        <v>5</v>
      </c>
      <c r="C6" s="3">
        <v>45413</v>
      </c>
      <c r="D6" s="2">
        <v>220</v>
      </c>
      <c r="E6" s="1"/>
      <c r="F6" s="1"/>
      <c r="G6" s="1"/>
      <c r="H6" s="1"/>
      <c r="I6" s="1"/>
    </row>
    <row r="7" spans="1:18" ht="15" x14ac:dyDescent="0.25">
      <c r="A7" s="2" t="s">
        <v>4</v>
      </c>
      <c r="B7" s="2" t="s">
        <v>7</v>
      </c>
      <c r="C7" s="3">
        <v>45444</v>
      </c>
      <c r="D7" s="2">
        <v>130</v>
      </c>
      <c r="E7" s="1"/>
      <c r="F7" s="1"/>
      <c r="G7" s="1"/>
      <c r="H7" s="1"/>
      <c r="I7" s="1"/>
    </row>
    <row r="8" spans="1:18" ht="15" x14ac:dyDescent="0.25">
      <c r="A8" s="2" t="s">
        <v>9</v>
      </c>
      <c r="B8" s="2" t="s">
        <v>5</v>
      </c>
      <c r="C8" s="3">
        <v>45474</v>
      </c>
      <c r="D8" s="2">
        <v>300</v>
      </c>
      <c r="E8" s="1"/>
      <c r="F8" s="1"/>
      <c r="G8" s="1"/>
      <c r="H8" s="1"/>
      <c r="I8" s="1"/>
    </row>
    <row r="9" spans="1:18" ht="15" x14ac:dyDescent="0.25">
      <c r="A9" s="2" t="s">
        <v>6</v>
      </c>
      <c r="B9" s="2" t="s">
        <v>8</v>
      </c>
      <c r="C9" s="3">
        <v>45505</v>
      </c>
      <c r="D9" s="2">
        <v>80</v>
      </c>
      <c r="E9" s="1"/>
      <c r="F9" s="1"/>
      <c r="G9" s="1"/>
      <c r="H9" s="1"/>
      <c r="I9" s="1"/>
    </row>
    <row r="10" spans="1:18" ht="15" x14ac:dyDescent="0.25">
      <c r="A10" s="4"/>
      <c r="B10" s="4"/>
      <c r="C10" s="4"/>
      <c r="D10" s="4"/>
      <c r="E10" s="1"/>
      <c r="F10" s="1"/>
      <c r="G10" s="1"/>
      <c r="H10" s="1"/>
      <c r="I10" s="1"/>
    </row>
    <row r="11" spans="1:18" ht="15" x14ac:dyDescent="0.25">
      <c r="A11" s="5"/>
      <c r="B11" s="1"/>
      <c r="C11" s="1"/>
      <c r="D11" s="1"/>
      <c r="E11" s="1"/>
      <c r="F11" s="1"/>
      <c r="G11" s="1"/>
      <c r="H11" s="1"/>
      <c r="I11" s="1"/>
    </row>
    <row r="12" spans="1:18" ht="15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18" ht="15" x14ac:dyDescent="0.25">
      <c r="A13" s="28"/>
      <c r="B13" s="28"/>
      <c r="C13" s="28"/>
      <c r="D13" s="28"/>
      <c r="E13" s="28"/>
      <c r="F13" s="28"/>
      <c r="G13" s="28"/>
      <c r="H13" s="28"/>
      <c r="I13" s="28"/>
      <c r="R13" s="21" t="s">
        <v>117</v>
      </c>
    </row>
    <row r="14" spans="1:18" ht="15" x14ac:dyDescent="0.25">
      <c r="A14" s="28"/>
      <c r="B14" s="29"/>
      <c r="C14" s="29"/>
      <c r="D14" s="29"/>
      <c r="E14" s="29"/>
      <c r="F14" s="29"/>
      <c r="G14" s="29"/>
      <c r="H14" s="29"/>
      <c r="I14" s="1"/>
    </row>
    <row r="15" spans="1:18" ht="15" x14ac:dyDescent="0.25">
      <c r="A15" s="28"/>
      <c r="B15" s="29"/>
      <c r="C15" s="29"/>
      <c r="D15" s="29"/>
      <c r="E15" s="29"/>
      <c r="F15" s="29"/>
      <c r="G15" s="29"/>
      <c r="H15" s="29"/>
      <c r="I15" s="1"/>
    </row>
    <row r="16" spans="1:18" ht="15" x14ac:dyDescent="0.25">
      <c r="A16" s="30"/>
      <c r="B16" s="29"/>
      <c r="C16" s="29"/>
      <c r="D16" s="29"/>
      <c r="E16" s="29"/>
      <c r="F16" s="29"/>
      <c r="G16" s="1"/>
      <c r="H16" s="1"/>
      <c r="I16" s="1"/>
    </row>
    <row r="17" spans="1:9" ht="15" x14ac:dyDescent="0.25">
      <c r="A17" s="30"/>
      <c r="B17" s="29"/>
      <c r="C17" s="29"/>
      <c r="D17" s="29"/>
      <c r="E17" s="29"/>
      <c r="F17" s="29"/>
      <c r="G17" s="1"/>
      <c r="H17" s="1"/>
      <c r="I17" s="1"/>
    </row>
  </sheetData>
  <mergeCells count="5">
    <mergeCell ref="A13:I13"/>
    <mergeCell ref="A14:H14"/>
    <mergeCell ref="A15:H15"/>
    <mergeCell ref="A16:F16"/>
    <mergeCell ref="A17:F17"/>
  </mergeCells>
  <conditionalFormatting sqref="A2:D9">
    <cfRule type="expression" dxfId="3" priority="4">
      <formula>$A2="Product A"</formula>
    </cfRule>
    <cfRule type="expression" dxfId="4" priority="5">
      <formula>$A2="Product"</formula>
    </cfRule>
    <cfRule type="expression" dxfId="2" priority="1">
      <formula>AND($A2="Product B",$B2="North")</formula>
    </cfRule>
  </conditionalFormatting>
  <conditionalFormatting sqref="C2:C9">
    <cfRule type="expression" dxfId="28" priority="3">
      <formula>AND(C2&gt;=DATE(2024,1,1),C2&lt;=DATE(2024,1,31))</formula>
    </cfRule>
  </conditionalFormatting>
  <conditionalFormatting sqref="D2:D9">
    <cfRule type="top10" dxfId="27" priority="2" rank="3"/>
    <cfRule type="cellIs" dxfId="26" priority="6" operator="greaterThan">
      <formula>150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57"/>
  <sheetViews>
    <sheetView topLeftCell="A20" zoomScaleNormal="100" workbookViewId="0">
      <selection activeCell="L115" sqref="L115"/>
    </sheetView>
  </sheetViews>
  <sheetFormatPr defaultColWidth="12.5703125" defaultRowHeight="15.75" customHeight="1" x14ac:dyDescent="0.2"/>
  <cols>
    <col min="1" max="1" width="16.28515625" customWidth="1"/>
    <col min="2" max="2" width="22.5703125" customWidth="1"/>
    <col min="6" max="6" width="10.85546875" customWidth="1"/>
    <col min="9" max="9" width="13.5703125" customWidth="1"/>
  </cols>
  <sheetData>
    <row r="1" spans="1:9" ht="15.75" customHeight="1" x14ac:dyDescent="0.25">
      <c r="A1" s="26" t="s">
        <v>11</v>
      </c>
      <c r="B1" s="26" t="s">
        <v>2</v>
      </c>
      <c r="C1" s="26" t="s">
        <v>1</v>
      </c>
      <c r="D1" s="26" t="s">
        <v>12</v>
      </c>
      <c r="E1" s="26" t="s">
        <v>0</v>
      </c>
      <c r="F1" s="26" t="s">
        <v>13</v>
      </c>
      <c r="G1" s="26" t="s">
        <v>14</v>
      </c>
      <c r="H1" s="26" t="s">
        <v>15</v>
      </c>
      <c r="I1" s="26" t="s">
        <v>16</v>
      </c>
    </row>
    <row r="2" spans="1:9" ht="15.75" customHeight="1" x14ac:dyDescent="0.25">
      <c r="A2" s="5" t="s">
        <v>116</v>
      </c>
      <c r="B2" s="6">
        <v>46147.428668981483</v>
      </c>
      <c r="C2" s="5" t="s">
        <v>8</v>
      </c>
      <c r="D2" s="5" t="s">
        <v>17</v>
      </c>
      <c r="E2" s="5" t="s">
        <v>18</v>
      </c>
      <c r="F2" s="5">
        <v>5</v>
      </c>
      <c r="G2" s="5">
        <v>8000</v>
      </c>
      <c r="H2" s="5">
        <v>40000</v>
      </c>
      <c r="I2" s="5" t="s">
        <v>19</v>
      </c>
    </row>
    <row r="3" spans="1:9" ht="15.75" customHeight="1" x14ac:dyDescent="0.25">
      <c r="A3" s="5" t="s">
        <v>20</v>
      </c>
      <c r="B3" s="6">
        <v>46102.428668981483</v>
      </c>
      <c r="C3" s="5" t="s">
        <v>8</v>
      </c>
      <c r="D3" s="5" t="s">
        <v>21</v>
      </c>
      <c r="E3" s="5" t="s">
        <v>22</v>
      </c>
      <c r="F3" s="5">
        <v>5</v>
      </c>
      <c r="G3" s="5">
        <v>75000</v>
      </c>
      <c r="H3" s="5">
        <v>375000</v>
      </c>
      <c r="I3" s="5" t="s">
        <v>23</v>
      </c>
    </row>
    <row r="4" spans="1:9" ht="15.75" customHeight="1" x14ac:dyDescent="0.25">
      <c r="A4" s="5" t="s">
        <v>24</v>
      </c>
      <c r="B4" s="6">
        <v>46147.428668981483</v>
      </c>
      <c r="C4" s="5" t="s">
        <v>8</v>
      </c>
      <c r="D4" s="5" t="s">
        <v>25</v>
      </c>
      <c r="E4" s="5" t="s">
        <v>26</v>
      </c>
      <c r="F4" s="5">
        <v>3</v>
      </c>
      <c r="G4" s="5">
        <v>8000</v>
      </c>
      <c r="H4" s="5">
        <v>24000</v>
      </c>
      <c r="I4" s="5"/>
    </row>
    <row r="5" spans="1:9" ht="15.75" customHeight="1" x14ac:dyDescent="0.25">
      <c r="A5" s="5" t="s">
        <v>27</v>
      </c>
      <c r="B5" s="6">
        <v>46103.428668981483</v>
      </c>
      <c r="C5" s="5" t="s">
        <v>5</v>
      </c>
      <c r="D5" s="5" t="s">
        <v>17</v>
      </c>
      <c r="E5" s="5" t="s">
        <v>28</v>
      </c>
      <c r="F5" s="5">
        <v>8</v>
      </c>
      <c r="G5" s="5">
        <v>25000</v>
      </c>
      <c r="H5" s="5">
        <v>200000</v>
      </c>
      <c r="I5" s="5"/>
    </row>
    <row r="6" spans="1:9" ht="15.75" customHeight="1" x14ac:dyDescent="0.25">
      <c r="A6" s="5" t="s">
        <v>29</v>
      </c>
      <c r="B6" s="6">
        <v>46134.428668981483</v>
      </c>
      <c r="C6" s="5" t="s">
        <v>7</v>
      </c>
      <c r="D6" s="5" t="s">
        <v>17</v>
      </c>
      <c r="E6" s="5" t="s">
        <v>28</v>
      </c>
      <c r="F6" s="5">
        <v>6</v>
      </c>
      <c r="G6" s="5">
        <v>75000</v>
      </c>
      <c r="H6" s="5">
        <v>450000</v>
      </c>
      <c r="I6" s="5" t="s">
        <v>19</v>
      </c>
    </row>
    <row r="7" spans="1:9" ht="15.75" customHeight="1" x14ac:dyDescent="0.25">
      <c r="A7" s="5" t="s">
        <v>30</v>
      </c>
      <c r="B7" s="6">
        <v>46109.428668981483</v>
      </c>
      <c r="C7" s="5" t="s">
        <v>7</v>
      </c>
      <c r="D7" s="5" t="s">
        <v>21</v>
      </c>
      <c r="E7" s="5" t="s">
        <v>31</v>
      </c>
      <c r="F7" s="5">
        <v>10</v>
      </c>
      <c r="G7" s="5">
        <v>25000</v>
      </c>
      <c r="H7" s="5">
        <v>250000</v>
      </c>
      <c r="I7" s="5" t="s">
        <v>32</v>
      </c>
    </row>
    <row r="8" spans="1:9" ht="15.75" customHeight="1" x14ac:dyDescent="0.25">
      <c r="A8" s="5" t="s">
        <v>33</v>
      </c>
      <c r="B8" s="6">
        <v>46122.428668981483</v>
      </c>
      <c r="C8" s="5" t="s">
        <v>8</v>
      </c>
      <c r="D8" s="5" t="s">
        <v>21</v>
      </c>
      <c r="E8" s="5" t="s">
        <v>22</v>
      </c>
      <c r="F8" s="5">
        <v>2</v>
      </c>
      <c r="G8" s="5">
        <v>12000</v>
      </c>
      <c r="H8" s="5">
        <v>24000</v>
      </c>
      <c r="I8" s="5" t="s">
        <v>19</v>
      </c>
    </row>
    <row r="9" spans="1:9" ht="15.75" customHeight="1" x14ac:dyDescent="0.25">
      <c r="A9" s="5" t="s">
        <v>33</v>
      </c>
      <c r="B9" s="6">
        <v>46095.428668981483</v>
      </c>
      <c r="C9" s="5" t="s">
        <v>7</v>
      </c>
      <c r="D9" s="5" t="s">
        <v>25</v>
      </c>
      <c r="E9" s="5" t="s">
        <v>34</v>
      </c>
      <c r="F9" s="5">
        <v>5</v>
      </c>
      <c r="G9" s="5">
        <v>8000</v>
      </c>
      <c r="H9" s="5">
        <v>40000</v>
      </c>
      <c r="I9" s="5" t="s">
        <v>32</v>
      </c>
    </row>
    <row r="10" spans="1:9" ht="15.75" customHeight="1" x14ac:dyDescent="0.25">
      <c r="A10" s="5" t="s">
        <v>35</v>
      </c>
      <c r="B10" s="6">
        <v>46106.428668981483</v>
      </c>
      <c r="C10" s="5" t="s">
        <v>10</v>
      </c>
      <c r="D10" s="5" t="s">
        <v>21</v>
      </c>
      <c r="E10" s="5" t="s">
        <v>34</v>
      </c>
      <c r="F10" s="5">
        <v>10</v>
      </c>
      <c r="G10" s="5">
        <v>25000</v>
      </c>
      <c r="H10" s="5">
        <v>250000</v>
      </c>
      <c r="I10" s="5" t="s">
        <v>36</v>
      </c>
    </row>
    <row r="11" spans="1:9" ht="15.75" customHeight="1" x14ac:dyDescent="0.25">
      <c r="A11" s="5" t="s">
        <v>37</v>
      </c>
      <c r="B11" s="6">
        <v>46118.428668981483</v>
      </c>
      <c r="C11" s="5" t="s">
        <v>7</v>
      </c>
      <c r="D11" s="5" t="s">
        <v>25</v>
      </c>
      <c r="E11" s="5" t="s">
        <v>31</v>
      </c>
      <c r="F11" s="5">
        <v>1</v>
      </c>
      <c r="G11" s="5">
        <v>12000</v>
      </c>
      <c r="H11" s="5">
        <v>12000</v>
      </c>
      <c r="I11" s="5" t="s">
        <v>36</v>
      </c>
    </row>
    <row r="12" spans="1:9" ht="15.75" customHeight="1" x14ac:dyDescent="0.25">
      <c r="A12" s="5" t="s">
        <v>38</v>
      </c>
      <c r="B12" s="6">
        <v>46146.428668981483</v>
      </c>
      <c r="C12" s="5" t="s">
        <v>7</v>
      </c>
      <c r="D12" s="5" t="s">
        <v>17</v>
      </c>
      <c r="E12" s="5" t="s">
        <v>22</v>
      </c>
      <c r="F12" s="5">
        <v>5</v>
      </c>
      <c r="G12" s="5">
        <v>8000</v>
      </c>
      <c r="H12" s="5">
        <v>40000</v>
      </c>
      <c r="I12" s="5" t="s">
        <v>19</v>
      </c>
    </row>
    <row r="13" spans="1:9" ht="15.75" customHeight="1" x14ac:dyDescent="0.25">
      <c r="A13" s="5" t="s">
        <v>39</v>
      </c>
      <c r="B13" s="6">
        <v>46119.428668981483</v>
      </c>
      <c r="C13" s="5" t="s">
        <v>10</v>
      </c>
      <c r="D13" s="5" t="s">
        <v>25</v>
      </c>
      <c r="E13" s="5" t="s">
        <v>31</v>
      </c>
      <c r="F13" s="5">
        <v>3</v>
      </c>
      <c r="G13" s="5">
        <v>75000</v>
      </c>
      <c r="H13" s="5">
        <v>225000</v>
      </c>
      <c r="I13" s="5" t="s">
        <v>40</v>
      </c>
    </row>
    <row r="14" spans="1:9" ht="15.75" customHeight="1" x14ac:dyDescent="0.25">
      <c r="A14" s="5" t="s">
        <v>41</v>
      </c>
      <c r="B14" s="6">
        <v>46107.428668981483</v>
      </c>
      <c r="C14" s="5" t="s">
        <v>10</v>
      </c>
      <c r="D14" s="5" t="s">
        <v>25</v>
      </c>
      <c r="E14" s="5" t="s">
        <v>18</v>
      </c>
      <c r="F14" s="5">
        <v>9</v>
      </c>
      <c r="G14" s="5">
        <v>25000</v>
      </c>
      <c r="H14" s="5">
        <v>225000</v>
      </c>
      <c r="I14" s="5" t="s">
        <v>23</v>
      </c>
    </row>
    <row r="15" spans="1:9" ht="15.75" customHeight="1" x14ac:dyDescent="0.25">
      <c r="A15" s="5" t="s">
        <v>42</v>
      </c>
      <c r="B15" s="6">
        <v>46153.428668981483</v>
      </c>
      <c r="C15" s="5" t="s">
        <v>5</v>
      </c>
      <c r="D15" s="5" t="s">
        <v>25</v>
      </c>
      <c r="E15" s="5" t="s">
        <v>34</v>
      </c>
      <c r="F15" s="5">
        <v>6</v>
      </c>
      <c r="G15" s="5">
        <v>25000</v>
      </c>
      <c r="H15" s="5">
        <v>150000</v>
      </c>
      <c r="I15" s="5"/>
    </row>
    <row r="16" spans="1:9" ht="15.75" customHeight="1" x14ac:dyDescent="0.25">
      <c r="A16" s="5" t="s">
        <v>43</v>
      </c>
      <c r="B16" s="6">
        <v>46108.428668981483</v>
      </c>
      <c r="C16" s="5" t="s">
        <v>5</v>
      </c>
      <c r="D16" s="5" t="s">
        <v>25</v>
      </c>
      <c r="E16" s="5" t="s">
        <v>34</v>
      </c>
      <c r="F16" s="5">
        <v>1</v>
      </c>
      <c r="G16" s="5">
        <v>8000</v>
      </c>
      <c r="H16" s="5">
        <v>8000</v>
      </c>
      <c r="I16" s="5" t="s">
        <v>19</v>
      </c>
    </row>
    <row r="17" spans="1:9" ht="15.75" customHeight="1" x14ac:dyDescent="0.25">
      <c r="A17" s="5" t="s">
        <v>43</v>
      </c>
      <c r="B17" s="6">
        <v>46120.428668981483</v>
      </c>
      <c r="C17" s="5" t="s">
        <v>10</v>
      </c>
      <c r="D17" s="5" t="s">
        <v>25</v>
      </c>
      <c r="E17" s="5" t="s">
        <v>18</v>
      </c>
      <c r="F17" s="5">
        <v>8</v>
      </c>
      <c r="G17" s="5">
        <v>60000</v>
      </c>
      <c r="H17" s="5">
        <v>480000</v>
      </c>
      <c r="I17" s="5" t="s">
        <v>23</v>
      </c>
    </row>
    <row r="18" spans="1:9" ht="15.75" customHeight="1" x14ac:dyDescent="0.25">
      <c r="A18" s="5" t="s">
        <v>44</v>
      </c>
      <c r="B18" s="6">
        <v>46133.428668981483</v>
      </c>
      <c r="C18" s="5" t="s">
        <v>5</v>
      </c>
      <c r="D18" s="5" t="s">
        <v>21</v>
      </c>
      <c r="E18" s="5" t="s">
        <v>34</v>
      </c>
      <c r="F18" s="5">
        <v>2</v>
      </c>
      <c r="G18" s="5">
        <v>60000</v>
      </c>
      <c r="H18" s="5">
        <v>120000</v>
      </c>
      <c r="I18" s="5"/>
    </row>
    <row r="19" spans="1:9" ht="15.75" customHeight="1" x14ac:dyDescent="0.25">
      <c r="A19" s="5" t="s">
        <v>45</v>
      </c>
      <c r="B19" s="6">
        <v>46095.428668981483</v>
      </c>
      <c r="C19" s="5" t="s">
        <v>7</v>
      </c>
      <c r="D19" s="5" t="s">
        <v>25</v>
      </c>
      <c r="E19" s="5" t="s">
        <v>34</v>
      </c>
      <c r="F19" s="5">
        <v>4</v>
      </c>
      <c r="G19" s="5">
        <v>8000</v>
      </c>
      <c r="H19" s="5">
        <v>32000</v>
      </c>
      <c r="I19" s="5"/>
    </row>
    <row r="20" spans="1:9" ht="15" x14ac:dyDescent="0.25">
      <c r="A20" s="5" t="s">
        <v>46</v>
      </c>
      <c r="B20" s="6">
        <v>46145.428668981483</v>
      </c>
      <c r="C20" s="5" t="s">
        <v>8</v>
      </c>
      <c r="D20" s="5" t="s">
        <v>21</v>
      </c>
      <c r="E20" s="5" t="s">
        <v>34</v>
      </c>
      <c r="F20" s="5">
        <v>4</v>
      </c>
      <c r="G20" s="5">
        <v>60000</v>
      </c>
      <c r="H20" s="5">
        <v>240000</v>
      </c>
      <c r="I20" s="5" t="s">
        <v>36</v>
      </c>
    </row>
    <row r="21" spans="1:9" ht="15" x14ac:dyDescent="0.25">
      <c r="A21" s="5" t="s">
        <v>47</v>
      </c>
      <c r="B21" s="6">
        <v>46108.428668981483</v>
      </c>
      <c r="C21" s="5" t="s">
        <v>7</v>
      </c>
      <c r="D21" s="5" t="s">
        <v>17</v>
      </c>
      <c r="E21" s="5" t="s">
        <v>18</v>
      </c>
      <c r="F21" s="5">
        <v>4</v>
      </c>
      <c r="G21" s="5">
        <v>60000</v>
      </c>
      <c r="H21" s="5">
        <v>240000</v>
      </c>
      <c r="I21" s="5" t="s">
        <v>36</v>
      </c>
    </row>
    <row r="22" spans="1:9" ht="15" x14ac:dyDescent="0.25">
      <c r="A22" s="5" t="s">
        <v>48</v>
      </c>
      <c r="B22" s="6">
        <v>46129.428668981483</v>
      </c>
      <c r="C22" s="5" t="s">
        <v>10</v>
      </c>
      <c r="D22" s="5" t="s">
        <v>25</v>
      </c>
      <c r="E22" s="5" t="s">
        <v>26</v>
      </c>
      <c r="F22" s="5">
        <v>8</v>
      </c>
      <c r="G22" s="5">
        <v>8000</v>
      </c>
      <c r="H22" s="5">
        <v>64000</v>
      </c>
      <c r="I22" s="5" t="s">
        <v>19</v>
      </c>
    </row>
    <row r="23" spans="1:9" ht="15" x14ac:dyDescent="0.25">
      <c r="A23" s="5" t="s">
        <v>49</v>
      </c>
      <c r="B23" s="6">
        <v>46119.428668981483</v>
      </c>
      <c r="C23" s="5" t="s">
        <v>5</v>
      </c>
      <c r="D23" s="5" t="s">
        <v>25</v>
      </c>
      <c r="E23" s="5" t="s">
        <v>18</v>
      </c>
      <c r="F23" s="5">
        <v>9</v>
      </c>
      <c r="G23" s="5">
        <v>12000</v>
      </c>
      <c r="H23" s="5">
        <v>108000</v>
      </c>
      <c r="I23" s="5" t="s">
        <v>36</v>
      </c>
    </row>
    <row r="24" spans="1:9" ht="15" x14ac:dyDescent="0.25">
      <c r="A24" s="5" t="s">
        <v>50</v>
      </c>
      <c r="B24" s="6">
        <v>46119.428668981483</v>
      </c>
      <c r="C24" s="5" t="s">
        <v>8</v>
      </c>
      <c r="D24" s="5" t="s">
        <v>25</v>
      </c>
      <c r="E24" s="5" t="s">
        <v>26</v>
      </c>
      <c r="F24" s="5">
        <v>4</v>
      </c>
      <c r="G24" s="5">
        <v>75000</v>
      </c>
      <c r="H24" s="5">
        <v>300000</v>
      </c>
      <c r="I24" s="5" t="s">
        <v>36</v>
      </c>
    </row>
    <row r="25" spans="1:9" ht="15" x14ac:dyDescent="0.25">
      <c r="A25" s="5" t="s">
        <v>50</v>
      </c>
      <c r="B25" s="6">
        <v>46130.428668981483</v>
      </c>
      <c r="C25" s="5" t="s">
        <v>7</v>
      </c>
      <c r="D25" s="5" t="s">
        <v>17</v>
      </c>
      <c r="E25" s="5" t="s">
        <v>26</v>
      </c>
      <c r="F25" s="5">
        <v>8</v>
      </c>
      <c r="G25" s="5">
        <v>75000</v>
      </c>
      <c r="H25" s="5">
        <v>600000</v>
      </c>
      <c r="I25" s="5" t="s">
        <v>32</v>
      </c>
    </row>
    <row r="26" spans="1:9" ht="15" x14ac:dyDescent="0.25">
      <c r="A26" s="5" t="s">
        <v>51</v>
      </c>
      <c r="B26" s="6">
        <v>46126.428668981483</v>
      </c>
      <c r="C26" s="5" t="s">
        <v>7</v>
      </c>
      <c r="D26" s="5" t="s">
        <v>17</v>
      </c>
      <c r="E26" s="5" t="s">
        <v>34</v>
      </c>
      <c r="F26" s="5">
        <v>5</v>
      </c>
      <c r="G26" s="5">
        <v>8000</v>
      </c>
      <c r="H26" s="5">
        <v>40000</v>
      </c>
      <c r="I26" s="5" t="s">
        <v>23</v>
      </c>
    </row>
    <row r="27" spans="1:9" ht="15" x14ac:dyDescent="0.25">
      <c r="A27" s="5" t="s">
        <v>52</v>
      </c>
      <c r="B27" s="6">
        <v>46142.428668981483</v>
      </c>
      <c r="C27" s="5" t="s">
        <v>5</v>
      </c>
      <c r="D27" s="5" t="s">
        <v>17</v>
      </c>
      <c r="E27" s="5" t="s">
        <v>31</v>
      </c>
      <c r="F27" s="5">
        <v>2</v>
      </c>
      <c r="G27" s="5">
        <v>12000</v>
      </c>
      <c r="H27" s="5">
        <v>24000</v>
      </c>
      <c r="I27" s="5" t="s">
        <v>40</v>
      </c>
    </row>
    <row r="28" spans="1:9" ht="15" x14ac:dyDescent="0.25">
      <c r="A28" s="5" t="s">
        <v>53</v>
      </c>
      <c r="B28" s="6">
        <v>46113.428668981483</v>
      </c>
      <c r="C28" s="5" t="s">
        <v>8</v>
      </c>
      <c r="D28" s="5" t="s">
        <v>21</v>
      </c>
      <c r="E28" s="5" t="s">
        <v>26</v>
      </c>
      <c r="F28" s="5">
        <v>4</v>
      </c>
      <c r="G28" s="5">
        <v>12000</v>
      </c>
      <c r="H28" s="5">
        <v>48000</v>
      </c>
      <c r="I28" s="5"/>
    </row>
    <row r="29" spans="1:9" ht="15" x14ac:dyDescent="0.25">
      <c r="A29" s="5" t="s">
        <v>54</v>
      </c>
      <c r="B29" s="6">
        <v>46106.428668981483</v>
      </c>
      <c r="C29" s="5" t="s">
        <v>8</v>
      </c>
      <c r="D29" s="5" t="s">
        <v>21</v>
      </c>
      <c r="E29" s="5" t="s">
        <v>26</v>
      </c>
      <c r="F29" s="5">
        <v>7</v>
      </c>
      <c r="G29" s="5">
        <v>60000</v>
      </c>
      <c r="H29" s="5">
        <v>420000</v>
      </c>
      <c r="I29" s="5"/>
    </row>
    <row r="30" spans="1:9" ht="15" x14ac:dyDescent="0.25">
      <c r="A30" s="5" t="s">
        <v>55</v>
      </c>
      <c r="B30" s="6">
        <v>46142.428668981483</v>
      </c>
      <c r="C30" s="5" t="s">
        <v>5</v>
      </c>
      <c r="D30" s="5" t="s">
        <v>25</v>
      </c>
      <c r="E30" s="5" t="s">
        <v>18</v>
      </c>
      <c r="F30" s="5">
        <v>3</v>
      </c>
      <c r="G30" s="5">
        <v>8000</v>
      </c>
      <c r="H30" s="5">
        <v>24000</v>
      </c>
      <c r="I30" s="5" t="s">
        <v>32</v>
      </c>
    </row>
    <row r="31" spans="1:9" ht="15" x14ac:dyDescent="0.25">
      <c r="A31" s="5" t="s">
        <v>56</v>
      </c>
      <c r="B31" s="6">
        <v>46107.428668981483</v>
      </c>
      <c r="C31" s="5" t="s">
        <v>5</v>
      </c>
      <c r="D31" s="5" t="s">
        <v>25</v>
      </c>
      <c r="E31" s="5" t="s">
        <v>34</v>
      </c>
      <c r="F31" s="5">
        <v>2</v>
      </c>
      <c r="G31" s="5">
        <v>25000</v>
      </c>
      <c r="H31" s="5">
        <v>50000</v>
      </c>
      <c r="I31" s="5" t="s">
        <v>36</v>
      </c>
    </row>
    <row r="32" spans="1:9" ht="15" x14ac:dyDescent="0.25">
      <c r="A32" s="5" t="s">
        <v>57</v>
      </c>
      <c r="B32" s="6">
        <v>46141.428668981483</v>
      </c>
      <c r="C32" s="5" t="s">
        <v>8</v>
      </c>
      <c r="D32" s="5" t="s">
        <v>21</v>
      </c>
      <c r="E32" s="5" t="s">
        <v>34</v>
      </c>
      <c r="F32" s="5">
        <v>4</v>
      </c>
      <c r="G32" s="5">
        <v>12000</v>
      </c>
      <c r="H32" s="5">
        <v>48000</v>
      </c>
      <c r="I32" s="5" t="s">
        <v>40</v>
      </c>
    </row>
    <row r="33" spans="1:9" ht="15" x14ac:dyDescent="0.25">
      <c r="A33" s="5" t="s">
        <v>57</v>
      </c>
      <c r="B33" s="6">
        <v>46129.428668981483</v>
      </c>
      <c r="C33" s="5" t="s">
        <v>8</v>
      </c>
      <c r="D33" s="5" t="s">
        <v>25</v>
      </c>
      <c r="E33" s="5" t="s">
        <v>34</v>
      </c>
      <c r="F33" s="5">
        <v>7</v>
      </c>
      <c r="G33" s="5">
        <v>75000</v>
      </c>
      <c r="H33" s="5">
        <v>525000</v>
      </c>
      <c r="I33" s="5" t="s">
        <v>40</v>
      </c>
    </row>
    <row r="34" spans="1:9" ht="15" x14ac:dyDescent="0.25">
      <c r="A34" s="5" t="s">
        <v>58</v>
      </c>
      <c r="B34" s="6">
        <v>46117.428668981483</v>
      </c>
      <c r="C34" s="5" t="s">
        <v>8</v>
      </c>
      <c r="D34" s="5" t="s">
        <v>25</v>
      </c>
      <c r="E34" s="5" t="s">
        <v>34</v>
      </c>
      <c r="F34" s="5">
        <v>7</v>
      </c>
      <c r="G34" s="5">
        <v>60000</v>
      </c>
      <c r="H34" s="5">
        <v>420000</v>
      </c>
      <c r="I34" s="5" t="s">
        <v>40</v>
      </c>
    </row>
    <row r="35" spans="1:9" ht="15" x14ac:dyDescent="0.25">
      <c r="A35" s="5" t="s">
        <v>59</v>
      </c>
      <c r="B35" s="6">
        <v>46099.428668981483</v>
      </c>
      <c r="C35" s="5" t="s">
        <v>10</v>
      </c>
      <c r="D35" s="5" t="s">
        <v>17</v>
      </c>
      <c r="E35" s="5" t="s">
        <v>34</v>
      </c>
      <c r="F35" s="5">
        <v>5</v>
      </c>
      <c r="G35" s="5">
        <v>60000</v>
      </c>
      <c r="H35" s="5">
        <v>300000</v>
      </c>
      <c r="I35" s="5"/>
    </row>
    <row r="36" spans="1:9" ht="15" x14ac:dyDescent="0.25">
      <c r="A36" s="5" t="s">
        <v>60</v>
      </c>
      <c r="B36" s="6">
        <v>46110.428668981483</v>
      </c>
      <c r="C36" s="5" t="s">
        <v>5</v>
      </c>
      <c r="D36" s="5" t="s">
        <v>21</v>
      </c>
      <c r="E36" s="5" t="s">
        <v>22</v>
      </c>
      <c r="F36" s="5">
        <v>8</v>
      </c>
      <c r="G36" s="5">
        <v>75000</v>
      </c>
      <c r="H36" s="5">
        <v>600000</v>
      </c>
      <c r="I36" s="5" t="s">
        <v>32</v>
      </c>
    </row>
    <row r="37" spans="1:9" ht="15" x14ac:dyDescent="0.25">
      <c r="A37" s="5" t="s">
        <v>61</v>
      </c>
      <c r="B37" s="6">
        <v>46125.428668981483</v>
      </c>
      <c r="C37" s="5" t="s">
        <v>8</v>
      </c>
      <c r="D37" s="5">
        <v>3</v>
      </c>
      <c r="E37" s="5" t="s">
        <v>31</v>
      </c>
      <c r="F37" s="5">
        <v>1</v>
      </c>
      <c r="G37" s="5">
        <v>75000</v>
      </c>
      <c r="H37" s="5">
        <v>75000</v>
      </c>
      <c r="I37" s="5" t="s">
        <v>23</v>
      </c>
    </row>
    <row r="38" spans="1:9" ht="15" x14ac:dyDescent="0.25">
      <c r="A38" s="5" t="s">
        <v>62</v>
      </c>
      <c r="B38" s="6">
        <v>46110.428668981483</v>
      </c>
      <c r="C38" s="5" t="s">
        <v>5</v>
      </c>
      <c r="D38" s="5" t="s">
        <v>21</v>
      </c>
      <c r="E38" s="5" t="s">
        <v>26</v>
      </c>
      <c r="F38" s="5">
        <v>10</v>
      </c>
      <c r="G38" s="5">
        <v>8000</v>
      </c>
      <c r="H38" s="5">
        <v>80000</v>
      </c>
      <c r="I38" s="5" t="s">
        <v>32</v>
      </c>
    </row>
    <row r="39" spans="1:9" ht="15" x14ac:dyDescent="0.25">
      <c r="A39" s="5" t="s">
        <v>63</v>
      </c>
      <c r="B39" s="6">
        <v>46122.428668981483</v>
      </c>
      <c r="C39" s="5" t="s">
        <v>7</v>
      </c>
      <c r="D39" s="5" t="s">
        <v>21</v>
      </c>
      <c r="E39" s="5" t="s">
        <v>31</v>
      </c>
      <c r="F39" s="5">
        <v>3</v>
      </c>
      <c r="G39" s="5">
        <v>75000</v>
      </c>
      <c r="H39" s="5">
        <v>225000</v>
      </c>
      <c r="I39" s="5" t="s">
        <v>40</v>
      </c>
    </row>
    <row r="40" spans="1:9" ht="15" x14ac:dyDescent="0.25">
      <c r="A40" s="5" t="s">
        <v>64</v>
      </c>
      <c r="B40" s="6">
        <v>46105.428668981483</v>
      </c>
      <c r="C40" s="5" t="s">
        <v>7</v>
      </c>
      <c r="D40" s="5" t="s">
        <v>21</v>
      </c>
      <c r="E40" s="5" t="s">
        <v>26</v>
      </c>
      <c r="F40" s="5">
        <v>5</v>
      </c>
      <c r="G40" s="5">
        <v>75000</v>
      </c>
      <c r="H40" s="5">
        <v>375000</v>
      </c>
      <c r="I40" s="5" t="s">
        <v>23</v>
      </c>
    </row>
    <row r="41" spans="1:9" ht="15" x14ac:dyDescent="0.25">
      <c r="A41" s="5" t="s">
        <v>64</v>
      </c>
      <c r="B41" s="6">
        <v>46097.428668981483</v>
      </c>
      <c r="C41" s="5" t="s">
        <v>8</v>
      </c>
      <c r="D41" s="5" t="s">
        <v>17</v>
      </c>
      <c r="E41" s="5" t="s">
        <v>18</v>
      </c>
      <c r="F41" s="5">
        <v>3</v>
      </c>
      <c r="G41" s="5">
        <v>8000</v>
      </c>
      <c r="H41" s="5">
        <v>24000</v>
      </c>
      <c r="I41" s="5" t="s">
        <v>40</v>
      </c>
    </row>
    <row r="43" spans="1:9" ht="15.75" customHeight="1" x14ac:dyDescent="0.25">
      <c r="A43" s="23"/>
      <c r="F43">
        <f>AVERAGE(F2:F41)</f>
        <v>5.15</v>
      </c>
    </row>
    <row r="44" spans="1:9" ht="15.75" customHeight="1" x14ac:dyDescent="0.2">
      <c r="A44" s="20"/>
    </row>
    <row r="45" spans="1:9" ht="15.75" customHeight="1" x14ac:dyDescent="0.2">
      <c r="A45" s="20"/>
    </row>
    <row r="46" spans="1:9" ht="15.75" customHeight="1" x14ac:dyDescent="0.2">
      <c r="A46" s="20"/>
      <c r="G46" s="21"/>
    </row>
    <row r="47" spans="1:9" ht="15.75" customHeight="1" x14ac:dyDescent="0.2">
      <c r="A47" s="20"/>
    </row>
    <row r="48" spans="1:9" ht="15.75" customHeight="1" x14ac:dyDescent="0.2">
      <c r="A48" s="20"/>
    </row>
    <row r="49" spans="1:1" ht="15.75" customHeight="1" x14ac:dyDescent="0.2">
      <c r="A49" s="20"/>
    </row>
    <row r="50" spans="1:1" ht="15.75" customHeight="1" x14ac:dyDescent="0.2">
      <c r="A50" s="20"/>
    </row>
    <row r="51" spans="1:1" ht="15.75" customHeight="1" x14ac:dyDescent="0.2">
      <c r="A51" s="20"/>
    </row>
    <row r="52" spans="1:1" ht="15.75" customHeight="1" x14ac:dyDescent="0.2">
      <c r="A52" s="20"/>
    </row>
    <row r="53" spans="1:1" ht="15.75" customHeight="1" x14ac:dyDescent="0.2">
      <c r="A53" s="20"/>
    </row>
    <row r="55" spans="1:1" ht="15.75" customHeight="1" x14ac:dyDescent="0.2">
      <c r="A55" s="20"/>
    </row>
    <row r="56" spans="1:1" ht="15.75" customHeight="1" x14ac:dyDescent="0.2">
      <c r="A56" s="20"/>
    </row>
    <row r="57" spans="1:1" ht="15.75" customHeight="1" x14ac:dyDescent="0.2">
      <c r="A57" s="20"/>
    </row>
  </sheetData>
  <conditionalFormatting sqref="A2:A41">
    <cfRule type="duplicateValues" dxfId="25" priority="10"/>
  </conditionalFormatting>
  <conditionalFormatting sqref="D2:D41">
    <cfRule type="containsText" dxfId="24" priority="1" operator="containsText" text="Electronics">
      <formula>NOT(ISERROR(SEARCH("Electronics",D2)))</formula>
    </cfRule>
  </conditionalFormatting>
  <conditionalFormatting sqref="E2:E41">
    <cfRule type="expression" dxfId="23" priority="5">
      <formula>ISNUMBER(SEARCH("Laptop",E2))</formula>
    </cfRule>
    <cfRule type="expression" dxfId="22" priority="6">
      <formula>ISNUMBER(SEARCH("Laptop",I2))</formula>
    </cfRule>
    <cfRule type="expression" dxfId="21" priority="7">
      <formula>AND($E2,"Laptop")</formula>
    </cfRule>
  </conditionalFormatting>
  <conditionalFormatting sqref="F2:F41">
    <cfRule type="cellIs" dxfId="20" priority="2" operator="between">
      <formula>5</formula>
      <formula>8</formula>
    </cfRule>
    <cfRule type="cellIs" dxfId="19" priority="11" operator="greaterThan">
      <formula>5.15</formula>
    </cfRule>
  </conditionalFormatting>
  <conditionalFormatting sqref="G2:G41">
    <cfRule type="cellIs" dxfId="18" priority="12" operator="lessThan">
      <formula>10000</formula>
    </cfRule>
  </conditionalFormatting>
  <conditionalFormatting sqref="H2:H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" priority="4" rank="10"/>
    <cfRule type="cellIs" dxfId="16" priority="13" operator="greaterThan">
      <formula>500000</formula>
    </cfRule>
  </conditionalFormatting>
  <conditionalFormatting sqref="I2:I41">
    <cfRule type="expression" dxfId="15" priority="8">
      <formula>ISBLANK(I2)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6796-2C65-4F59-87C8-DAA360A931DE}">
  <dimension ref="A1:L41"/>
  <sheetViews>
    <sheetView topLeftCell="A97" zoomScale="114" zoomScaleNormal="120" workbookViewId="0">
      <selection activeCell="S76" sqref="S76"/>
    </sheetView>
  </sheetViews>
  <sheetFormatPr defaultRowHeight="12.75" x14ac:dyDescent="0.2"/>
  <cols>
    <col min="1" max="1" width="11.5703125" customWidth="1"/>
    <col min="2" max="2" width="23.42578125" customWidth="1"/>
    <col min="3" max="3" width="12.42578125" customWidth="1"/>
    <col min="4" max="4" width="17" customWidth="1"/>
    <col min="5" max="5" width="16.28515625" customWidth="1"/>
    <col min="6" max="6" width="11" customWidth="1"/>
    <col min="7" max="7" width="14.28515625" customWidth="1"/>
    <col min="8" max="8" width="14.5703125" customWidth="1"/>
    <col min="9" max="9" width="12.7109375" customWidth="1"/>
  </cols>
  <sheetData>
    <row r="1" spans="1:9" ht="15" x14ac:dyDescent="0.25">
      <c r="A1" s="26" t="s">
        <v>11</v>
      </c>
      <c r="B1" s="26" t="s">
        <v>2</v>
      </c>
      <c r="C1" s="26" t="s">
        <v>1</v>
      </c>
      <c r="D1" s="26" t="s">
        <v>12</v>
      </c>
      <c r="E1" s="26" t="s">
        <v>0</v>
      </c>
      <c r="F1" s="26" t="s">
        <v>13</v>
      </c>
      <c r="G1" s="26" t="s">
        <v>14</v>
      </c>
      <c r="H1" s="26" t="s">
        <v>15</v>
      </c>
      <c r="I1" s="26" t="s">
        <v>16</v>
      </c>
    </row>
    <row r="2" spans="1:9" ht="15" x14ac:dyDescent="0.25">
      <c r="A2" s="23" t="s">
        <v>116</v>
      </c>
      <c r="B2" s="6">
        <v>46147.428668981483</v>
      </c>
      <c r="C2" s="5" t="s">
        <v>8</v>
      </c>
      <c r="D2" s="5" t="s">
        <v>17</v>
      </c>
      <c r="E2" s="5" t="s">
        <v>18</v>
      </c>
      <c r="F2" s="5">
        <v>5</v>
      </c>
      <c r="G2" s="5">
        <v>8000</v>
      </c>
      <c r="H2" s="5">
        <v>40000</v>
      </c>
      <c r="I2" s="5" t="s">
        <v>19</v>
      </c>
    </row>
    <row r="3" spans="1:9" ht="15" x14ac:dyDescent="0.25">
      <c r="A3" s="5" t="s">
        <v>20</v>
      </c>
      <c r="B3" s="6">
        <v>46102.428668981483</v>
      </c>
      <c r="C3" s="5" t="s">
        <v>8</v>
      </c>
      <c r="D3" s="5" t="s">
        <v>21</v>
      </c>
      <c r="E3" s="5" t="s">
        <v>22</v>
      </c>
      <c r="F3" s="5">
        <v>5</v>
      </c>
      <c r="G3" s="5">
        <v>75000</v>
      </c>
      <c r="H3" s="5">
        <v>375000</v>
      </c>
      <c r="I3" s="5" t="s">
        <v>23</v>
      </c>
    </row>
    <row r="4" spans="1:9" ht="15" x14ac:dyDescent="0.25">
      <c r="A4" s="5" t="s">
        <v>24</v>
      </c>
      <c r="B4" s="6">
        <v>46147.428668981483</v>
      </c>
      <c r="C4" s="5" t="s">
        <v>8</v>
      </c>
      <c r="D4" s="5" t="s">
        <v>25</v>
      </c>
      <c r="E4" s="5" t="s">
        <v>26</v>
      </c>
      <c r="F4" s="5">
        <v>3</v>
      </c>
      <c r="G4" s="5">
        <v>8000</v>
      </c>
      <c r="H4" s="5">
        <v>24000</v>
      </c>
      <c r="I4" s="5"/>
    </row>
    <row r="5" spans="1:9" ht="15" x14ac:dyDescent="0.25">
      <c r="A5" s="5" t="s">
        <v>27</v>
      </c>
      <c r="B5" s="6">
        <v>46103.428668981483</v>
      </c>
      <c r="C5" s="5" t="s">
        <v>5</v>
      </c>
      <c r="D5" s="5" t="s">
        <v>17</v>
      </c>
      <c r="E5" s="5" t="s">
        <v>28</v>
      </c>
      <c r="F5" s="5">
        <v>8</v>
      </c>
      <c r="G5" s="5">
        <v>25000</v>
      </c>
      <c r="H5" s="5">
        <v>200000</v>
      </c>
      <c r="I5" s="5"/>
    </row>
    <row r="6" spans="1:9" ht="15" x14ac:dyDescent="0.25">
      <c r="A6" s="5" t="s">
        <v>29</v>
      </c>
      <c r="B6" s="6">
        <v>46134.428668981483</v>
      </c>
      <c r="C6" s="5" t="s">
        <v>7</v>
      </c>
      <c r="D6" s="5" t="s">
        <v>17</v>
      </c>
      <c r="E6" s="5" t="s">
        <v>28</v>
      </c>
      <c r="F6" s="5">
        <v>6</v>
      </c>
      <c r="G6" s="5">
        <v>75000</v>
      </c>
      <c r="H6" s="5">
        <v>450000</v>
      </c>
      <c r="I6" s="5" t="s">
        <v>19</v>
      </c>
    </row>
    <row r="7" spans="1:9" ht="15" x14ac:dyDescent="0.25">
      <c r="A7" s="5" t="s">
        <v>30</v>
      </c>
      <c r="B7" s="6">
        <v>46109.428668981483</v>
      </c>
      <c r="C7" s="5" t="s">
        <v>7</v>
      </c>
      <c r="D7" s="5" t="s">
        <v>21</v>
      </c>
      <c r="E7" s="5" t="s">
        <v>31</v>
      </c>
      <c r="F7" s="5">
        <v>10</v>
      </c>
      <c r="G7" s="5">
        <v>25000</v>
      </c>
      <c r="H7" s="5">
        <v>250000</v>
      </c>
      <c r="I7" s="5" t="s">
        <v>32</v>
      </c>
    </row>
    <row r="8" spans="1:9" ht="15" x14ac:dyDescent="0.25">
      <c r="A8" s="5" t="s">
        <v>33</v>
      </c>
      <c r="B8" s="6">
        <v>46122.428668981483</v>
      </c>
      <c r="C8" s="5" t="s">
        <v>8</v>
      </c>
      <c r="D8" s="5" t="s">
        <v>21</v>
      </c>
      <c r="E8" s="5" t="s">
        <v>22</v>
      </c>
      <c r="F8" s="5">
        <v>2</v>
      </c>
      <c r="G8" s="5">
        <v>12000</v>
      </c>
      <c r="H8" s="5">
        <v>24000</v>
      </c>
      <c r="I8" s="5" t="s">
        <v>19</v>
      </c>
    </row>
    <row r="9" spans="1:9" ht="15" x14ac:dyDescent="0.25">
      <c r="A9" s="5" t="s">
        <v>33</v>
      </c>
      <c r="B9" s="6">
        <v>46095.428668981483</v>
      </c>
      <c r="C9" s="5" t="s">
        <v>7</v>
      </c>
      <c r="D9" s="5" t="s">
        <v>25</v>
      </c>
      <c r="E9" s="5" t="s">
        <v>34</v>
      </c>
      <c r="F9" s="5">
        <v>5</v>
      </c>
      <c r="G9" s="5">
        <v>8000</v>
      </c>
      <c r="H9" s="5">
        <v>40000</v>
      </c>
      <c r="I9" s="5" t="s">
        <v>32</v>
      </c>
    </row>
    <row r="10" spans="1:9" ht="15" x14ac:dyDescent="0.25">
      <c r="A10" s="5" t="s">
        <v>35</v>
      </c>
      <c r="B10" s="6">
        <v>46106.428668981483</v>
      </c>
      <c r="C10" s="5" t="s">
        <v>10</v>
      </c>
      <c r="D10" s="5" t="s">
        <v>21</v>
      </c>
      <c r="E10" s="5" t="s">
        <v>34</v>
      </c>
      <c r="F10" s="5">
        <v>10</v>
      </c>
      <c r="G10" s="5">
        <v>25000</v>
      </c>
      <c r="H10" s="5">
        <v>250000</v>
      </c>
      <c r="I10" s="5" t="s">
        <v>36</v>
      </c>
    </row>
    <row r="11" spans="1:9" ht="15" x14ac:dyDescent="0.25">
      <c r="A11" s="5" t="s">
        <v>37</v>
      </c>
      <c r="B11" s="6">
        <v>46118.428668981483</v>
      </c>
      <c r="C11" s="5" t="s">
        <v>7</v>
      </c>
      <c r="D11" s="5" t="s">
        <v>25</v>
      </c>
      <c r="E11" s="5" t="s">
        <v>31</v>
      </c>
      <c r="F11" s="5">
        <v>1</v>
      </c>
      <c r="G11" s="5">
        <v>12000</v>
      </c>
      <c r="H11" s="5">
        <v>12000</v>
      </c>
      <c r="I11" s="5" t="s">
        <v>36</v>
      </c>
    </row>
    <row r="12" spans="1:9" ht="15" x14ac:dyDescent="0.25">
      <c r="A12" s="5" t="s">
        <v>38</v>
      </c>
      <c r="B12" s="6">
        <v>46146.428668981483</v>
      </c>
      <c r="C12" s="5" t="s">
        <v>7</v>
      </c>
      <c r="D12" s="5" t="s">
        <v>17</v>
      </c>
      <c r="E12" s="5" t="s">
        <v>22</v>
      </c>
      <c r="F12" s="5">
        <v>5</v>
      </c>
      <c r="G12" s="5">
        <v>8000</v>
      </c>
      <c r="H12" s="5">
        <v>40000</v>
      </c>
      <c r="I12" s="5" t="s">
        <v>19</v>
      </c>
    </row>
    <row r="13" spans="1:9" ht="15" x14ac:dyDescent="0.25">
      <c r="A13" s="5" t="s">
        <v>39</v>
      </c>
      <c r="B13" s="6">
        <v>46119.428668981483</v>
      </c>
      <c r="C13" s="5" t="s">
        <v>10</v>
      </c>
      <c r="D13" s="5" t="s">
        <v>25</v>
      </c>
      <c r="E13" s="5" t="s">
        <v>31</v>
      </c>
      <c r="F13" s="5">
        <v>3</v>
      </c>
      <c r="G13" s="5">
        <v>75000</v>
      </c>
      <c r="H13" s="5">
        <v>225000</v>
      </c>
      <c r="I13" s="5" t="s">
        <v>40</v>
      </c>
    </row>
    <row r="14" spans="1:9" ht="15" x14ac:dyDescent="0.25">
      <c r="A14" s="5" t="s">
        <v>41</v>
      </c>
      <c r="B14" s="6">
        <v>46107.428668981483</v>
      </c>
      <c r="C14" s="5" t="s">
        <v>10</v>
      </c>
      <c r="D14" s="5" t="s">
        <v>25</v>
      </c>
      <c r="E14" s="5" t="s">
        <v>18</v>
      </c>
      <c r="F14" s="5">
        <v>9</v>
      </c>
      <c r="G14" s="5">
        <v>25000</v>
      </c>
      <c r="H14" s="5">
        <v>225000</v>
      </c>
      <c r="I14" s="5" t="s">
        <v>23</v>
      </c>
    </row>
    <row r="15" spans="1:9" ht="15" x14ac:dyDescent="0.25">
      <c r="A15" s="5" t="s">
        <v>42</v>
      </c>
      <c r="B15" s="6">
        <v>46153.428668981483</v>
      </c>
      <c r="C15" s="5" t="s">
        <v>5</v>
      </c>
      <c r="D15" s="5" t="s">
        <v>25</v>
      </c>
      <c r="E15" s="5" t="s">
        <v>34</v>
      </c>
      <c r="F15" s="5">
        <v>6</v>
      </c>
      <c r="G15" s="5">
        <v>25000</v>
      </c>
      <c r="H15" s="5">
        <v>150000</v>
      </c>
      <c r="I15" s="5"/>
    </row>
    <row r="16" spans="1:9" ht="15" x14ac:dyDescent="0.25">
      <c r="A16" s="5" t="s">
        <v>43</v>
      </c>
      <c r="B16" s="6">
        <v>46108.428668981483</v>
      </c>
      <c r="C16" s="5" t="s">
        <v>5</v>
      </c>
      <c r="D16" s="5" t="s">
        <v>25</v>
      </c>
      <c r="E16" s="5" t="s">
        <v>34</v>
      </c>
      <c r="F16" s="5">
        <v>1</v>
      </c>
      <c r="G16" s="5">
        <v>8000</v>
      </c>
      <c r="H16" s="5">
        <v>8000</v>
      </c>
      <c r="I16" s="5" t="s">
        <v>19</v>
      </c>
    </row>
    <row r="17" spans="1:12" ht="15" x14ac:dyDescent="0.25">
      <c r="A17" s="5" t="s">
        <v>43</v>
      </c>
      <c r="B17" s="6">
        <v>46120.428668981483</v>
      </c>
      <c r="C17" s="5" t="s">
        <v>10</v>
      </c>
      <c r="D17" s="5" t="s">
        <v>25</v>
      </c>
      <c r="E17" s="5" t="s">
        <v>18</v>
      </c>
      <c r="F17" s="5">
        <v>8</v>
      </c>
      <c r="G17" s="5">
        <v>60000</v>
      </c>
      <c r="H17" s="5">
        <v>480000</v>
      </c>
      <c r="I17" s="5" t="s">
        <v>23</v>
      </c>
    </row>
    <row r="18" spans="1:12" ht="15" x14ac:dyDescent="0.25">
      <c r="A18" s="5" t="s">
        <v>44</v>
      </c>
      <c r="B18" s="6">
        <v>46133.428668981483</v>
      </c>
      <c r="C18" s="5" t="s">
        <v>5</v>
      </c>
      <c r="D18" s="5" t="s">
        <v>21</v>
      </c>
      <c r="E18" s="5" t="s">
        <v>34</v>
      </c>
      <c r="F18" s="5">
        <v>2</v>
      </c>
      <c r="G18" s="5">
        <v>60000</v>
      </c>
      <c r="H18" s="5">
        <v>120000</v>
      </c>
      <c r="I18" s="5"/>
    </row>
    <row r="19" spans="1:12" ht="15" x14ac:dyDescent="0.25">
      <c r="A19" s="5" t="s">
        <v>45</v>
      </c>
      <c r="B19" s="6">
        <v>46095.428668981483</v>
      </c>
      <c r="C19" s="5" t="s">
        <v>7</v>
      </c>
      <c r="D19" s="5" t="s">
        <v>25</v>
      </c>
      <c r="E19" s="5" t="s">
        <v>34</v>
      </c>
      <c r="F19" s="5">
        <v>4</v>
      </c>
      <c r="G19" s="5">
        <v>8000</v>
      </c>
      <c r="H19" s="5">
        <v>32000</v>
      </c>
      <c r="I19" s="5"/>
    </row>
    <row r="20" spans="1:12" ht="15" x14ac:dyDescent="0.25">
      <c r="A20" s="5" t="s">
        <v>46</v>
      </c>
      <c r="B20" s="6">
        <v>46145.428668981483</v>
      </c>
      <c r="C20" s="5" t="s">
        <v>8</v>
      </c>
      <c r="D20" s="5" t="s">
        <v>21</v>
      </c>
      <c r="E20" s="5" t="s">
        <v>34</v>
      </c>
      <c r="F20" s="5">
        <v>4</v>
      </c>
      <c r="G20" s="5">
        <v>60000</v>
      </c>
      <c r="H20" s="5">
        <v>240000</v>
      </c>
      <c r="I20" s="5" t="s">
        <v>36</v>
      </c>
    </row>
    <row r="21" spans="1:12" ht="15" x14ac:dyDescent="0.25">
      <c r="A21" s="5" t="s">
        <v>47</v>
      </c>
      <c r="B21" s="6">
        <v>46108.428668981483</v>
      </c>
      <c r="C21" s="5" t="s">
        <v>7</v>
      </c>
      <c r="D21" s="5" t="s">
        <v>17</v>
      </c>
      <c r="E21" s="5" t="s">
        <v>18</v>
      </c>
      <c r="F21" s="5">
        <v>4</v>
      </c>
      <c r="G21" s="5">
        <v>60000</v>
      </c>
      <c r="H21" s="5">
        <v>240000</v>
      </c>
      <c r="I21" s="5" t="s">
        <v>36</v>
      </c>
    </row>
    <row r="22" spans="1:12" ht="15" x14ac:dyDescent="0.25">
      <c r="A22" s="5" t="s">
        <v>48</v>
      </c>
      <c r="B22" s="6">
        <v>46129.428668981483</v>
      </c>
      <c r="C22" s="5" t="s">
        <v>10</v>
      </c>
      <c r="D22" s="5" t="s">
        <v>25</v>
      </c>
      <c r="E22" s="5" t="s">
        <v>26</v>
      </c>
      <c r="F22" s="5">
        <v>8</v>
      </c>
      <c r="G22" s="5">
        <v>8000</v>
      </c>
      <c r="H22" s="5">
        <v>64000</v>
      </c>
      <c r="I22" s="5" t="s">
        <v>19</v>
      </c>
      <c r="L22" t="s">
        <v>117</v>
      </c>
    </row>
    <row r="23" spans="1:12" ht="15" x14ac:dyDescent="0.25">
      <c r="A23" s="5" t="s">
        <v>49</v>
      </c>
      <c r="B23" s="6">
        <v>46119.428668981483</v>
      </c>
      <c r="C23" s="5" t="s">
        <v>5</v>
      </c>
      <c r="D23" s="5" t="s">
        <v>25</v>
      </c>
      <c r="E23" s="5" t="s">
        <v>18</v>
      </c>
      <c r="F23" s="5">
        <v>9</v>
      </c>
      <c r="G23" s="5">
        <v>12000</v>
      </c>
      <c r="H23" s="5">
        <v>108000</v>
      </c>
      <c r="I23" s="5" t="s">
        <v>36</v>
      </c>
    </row>
    <row r="24" spans="1:12" ht="15" x14ac:dyDescent="0.25">
      <c r="A24" s="5" t="s">
        <v>50</v>
      </c>
      <c r="B24" s="6">
        <v>46119.428668981483</v>
      </c>
      <c r="C24" s="5" t="s">
        <v>8</v>
      </c>
      <c r="D24" s="5" t="s">
        <v>25</v>
      </c>
      <c r="E24" s="5" t="s">
        <v>26</v>
      </c>
      <c r="F24" s="5">
        <v>4</v>
      </c>
      <c r="G24" s="5">
        <v>75000</v>
      </c>
      <c r="H24" s="5">
        <v>300000</v>
      </c>
      <c r="I24" s="5" t="s">
        <v>36</v>
      </c>
    </row>
    <row r="25" spans="1:12" ht="15" x14ac:dyDescent="0.25">
      <c r="A25" s="5" t="s">
        <v>50</v>
      </c>
      <c r="B25" s="6">
        <v>46130.428668981483</v>
      </c>
      <c r="C25" s="5" t="s">
        <v>7</v>
      </c>
      <c r="D25" s="5" t="s">
        <v>17</v>
      </c>
      <c r="E25" s="5" t="s">
        <v>26</v>
      </c>
      <c r="F25" s="5">
        <v>8</v>
      </c>
      <c r="G25" s="5">
        <v>75000</v>
      </c>
      <c r="H25" s="5">
        <v>600000</v>
      </c>
      <c r="I25" s="5" t="s">
        <v>32</v>
      </c>
    </row>
    <row r="26" spans="1:12" ht="15" x14ac:dyDescent="0.25">
      <c r="A26" s="5" t="s">
        <v>51</v>
      </c>
      <c r="B26" s="6">
        <v>46126.428668981483</v>
      </c>
      <c r="C26" s="5" t="s">
        <v>7</v>
      </c>
      <c r="D26" s="5" t="s">
        <v>17</v>
      </c>
      <c r="E26" s="5" t="s">
        <v>34</v>
      </c>
      <c r="F26" s="5">
        <v>5</v>
      </c>
      <c r="G26" s="5">
        <v>8000</v>
      </c>
      <c r="H26" s="5">
        <v>40000</v>
      </c>
      <c r="I26" s="5" t="s">
        <v>23</v>
      </c>
    </row>
    <row r="27" spans="1:12" ht="15" x14ac:dyDescent="0.25">
      <c r="A27" s="5" t="s">
        <v>52</v>
      </c>
      <c r="B27" s="6">
        <v>46142.428668981483</v>
      </c>
      <c r="C27" s="5" t="s">
        <v>5</v>
      </c>
      <c r="D27" s="5" t="s">
        <v>17</v>
      </c>
      <c r="E27" s="5" t="s">
        <v>31</v>
      </c>
      <c r="F27" s="5">
        <v>2</v>
      </c>
      <c r="G27" s="5">
        <v>12000</v>
      </c>
      <c r="H27" s="5">
        <v>24000</v>
      </c>
      <c r="I27" s="5" t="s">
        <v>40</v>
      </c>
    </row>
    <row r="28" spans="1:12" ht="15" x14ac:dyDescent="0.25">
      <c r="A28" s="5" t="s">
        <v>53</v>
      </c>
      <c r="B28" s="6">
        <v>46113.428668981483</v>
      </c>
      <c r="C28" s="5" t="s">
        <v>8</v>
      </c>
      <c r="D28" s="5" t="s">
        <v>21</v>
      </c>
      <c r="E28" s="5" t="s">
        <v>26</v>
      </c>
      <c r="F28" s="5">
        <v>4</v>
      </c>
      <c r="G28" s="5">
        <v>12000</v>
      </c>
      <c r="H28" s="5">
        <v>48000</v>
      </c>
      <c r="I28" s="5"/>
    </row>
    <row r="29" spans="1:12" ht="15" x14ac:dyDescent="0.25">
      <c r="A29" s="5" t="s">
        <v>54</v>
      </c>
      <c r="B29" s="6">
        <v>46106.428668981483</v>
      </c>
      <c r="C29" s="5" t="s">
        <v>8</v>
      </c>
      <c r="D29" s="5" t="s">
        <v>21</v>
      </c>
      <c r="E29" s="5" t="s">
        <v>26</v>
      </c>
      <c r="F29" s="5">
        <v>7</v>
      </c>
      <c r="G29" s="5">
        <v>60000</v>
      </c>
      <c r="H29" s="5">
        <v>420000</v>
      </c>
      <c r="I29" s="5"/>
    </row>
    <row r="30" spans="1:12" ht="15" x14ac:dyDescent="0.25">
      <c r="A30" s="5" t="s">
        <v>55</v>
      </c>
      <c r="B30" s="6">
        <v>46142.428668981483</v>
      </c>
      <c r="C30" s="5" t="s">
        <v>5</v>
      </c>
      <c r="D30" s="5" t="s">
        <v>25</v>
      </c>
      <c r="E30" s="5" t="s">
        <v>18</v>
      </c>
      <c r="F30" s="5">
        <v>3</v>
      </c>
      <c r="G30" s="5">
        <v>8000</v>
      </c>
      <c r="H30" s="5">
        <v>24000</v>
      </c>
      <c r="I30" s="5" t="s">
        <v>32</v>
      </c>
    </row>
    <row r="31" spans="1:12" ht="15" x14ac:dyDescent="0.25">
      <c r="A31" s="5" t="s">
        <v>56</v>
      </c>
      <c r="B31" s="6">
        <v>46107.428668981483</v>
      </c>
      <c r="C31" s="5" t="s">
        <v>5</v>
      </c>
      <c r="D31" s="5" t="s">
        <v>25</v>
      </c>
      <c r="E31" s="5" t="s">
        <v>34</v>
      </c>
      <c r="F31" s="5">
        <v>2</v>
      </c>
      <c r="G31" s="5">
        <v>25000</v>
      </c>
      <c r="H31" s="5">
        <v>50000</v>
      </c>
      <c r="I31" s="5" t="s">
        <v>36</v>
      </c>
    </row>
    <row r="32" spans="1:12" ht="15" x14ac:dyDescent="0.25">
      <c r="A32" s="5" t="s">
        <v>57</v>
      </c>
      <c r="B32" s="6">
        <v>46141.428668981483</v>
      </c>
      <c r="C32" s="5" t="s">
        <v>8</v>
      </c>
      <c r="D32" s="5" t="s">
        <v>21</v>
      </c>
      <c r="E32" s="5" t="s">
        <v>34</v>
      </c>
      <c r="F32" s="5">
        <v>4</v>
      </c>
      <c r="G32" s="5">
        <v>12000</v>
      </c>
      <c r="H32" s="5">
        <v>48000</v>
      </c>
      <c r="I32" s="5" t="s">
        <v>40</v>
      </c>
    </row>
    <row r="33" spans="1:9" ht="15" x14ac:dyDescent="0.25">
      <c r="A33" s="5" t="s">
        <v>57</v>
      </c>
      <c r="B33" s="6">
        <v>46129.428668981483</v>
      </c>
      <c r="C33" s="5" t="s">
        <v>8</v>
      </c>
      <c r="D33" s="5" t="s">
        <v>25</v>
      </c>
      <c r="E33" s="5" t="s">
        <v>34</v>
      </c>
      <c r="F33" s="5">
        <v>7</v>
      </c>
      <c r="G33" s="5">
        <v>75000</v>
      </c>
      <c r="H33" s="5">
        <v>525000</v>
      </c>
      <c r="I33" s="5" t="s">
        <v>40</v>
      </c>
    </row>
    <row r="34" spans="1:9" ht="15" x14ac:dyDescent="0.25">
      <c r="A34" s="5" t="s">
        <v>58</v>
      </c>
      <c r="B34" s="6">
        <v>46117.428668981483</v>
      </c>
      <c r="C34" s="5" t="s">
        <v>8</v>
      </c>
      <c r="D34" s="5" t="s">
        <v>25</v>
      </c>
      <c r="E34" s="5" t="s">
        <v>34</v>
      </c>
      <c r="F34" s="5">
        <v>7</v>
      </c>
      <c r="G34" s="5">
        <v>60000</v>
      </c>
      <c r="H34" s="5">
        <v>420000</v>
      </c>
      <c r="I34" s="5" t="s">
        <v>40</v>
      </c>
    </row>
    <row r="35" spans="1:9" ht="15" x14ac:dyDescent="0.25">
      <c r="A35" s="5" t="s">
        <v>59</v>
      </c>
      <c r="B35" s="6">
        <v>46099.428668981483</v>
      </c>
      <c r="C35" s="5" t="s">
        <v>10</v>
      </c>
      <c r="D35" s="5" t="s">
        <v>17</v>
      </c>
      <c r="E35" s="5" t="s">
        <v>34</v>
      </c>
      <c r="F35" s="5">
        <v>5</v>
      </c>
      <c r="G35" s="5">
        <v>60000</v>
      </c>
      <c r="H35" s="5">
        <v>300000</v>
      </c>
      <c r="I35" s="5"/>
    </row>
    <row r="36" spans="1:9" ht="15" x14ac:dyDescent="0.25">
      <c r="A36" s="5" t="s">
        <v>60</v>
      </c>
      <c r="B36" s="6">
        <v>46110.428668981483</v>
      </c>
      <c r="C36" s="5" t="s">
        <v>5</v>
      </c>
      <c r="D36" s="5" t="s">
        <v>21</v>
      </c>
      <c r="E36" s="5" t="s">
        <v>22</v>
      </c>
      <c r="F36" s="5">
        <v>8</v>
      </c>
      <c r="G36" s="5">
        <v>75000</v>
      </c>
      <c r="H36" s="5">
        <v>600000</v>
      </c>
      <c r="I36" s="5" t="s">
        <v>32</v>
      </c>
    </row>
    <row r="37" spans="1:9" ht="15" x14ac:dyDescent="0.25">
      <c r="A37" s="5" t="s">
        <v>61</v>
      </c>
      <c r="B37" s="6">
        <v>46125.428668981483</v>
      </c>
      <c r="C37" s="5" t="s">
        <v>8</v>
      </c>
      <c r="D37" s="5">
        <v>3</v>
      </c>
      <c r="E37" s="5" t="s">
        <v>31</v>
      </c>
      <c r="F37" s="5">
        <v>1</v>
      </c>
      <c r="G37" s="5">
        <v>75000</v>
      </c>
      <c r="H37" s="5">
        <v>75000</v>
      </c>
      <c r="I37" s="5" t="s">
        <v>23</v>
      </c>
    </row>
    <row r="38" spans="1:9" ht="15" x14ac:dyDescent="0.25">
      <c r="A38" s="5" t="s">
        <v>62</v>
      </c>
      <c r="B38" s="6">
        <v>46110.428668981483</v>
      </c>
      <c r="C38" s="5" t="s">
        <v>5</v>
      </c>
      <c r="D38" s="5" t="s">
        <v>21</v>
      </c>
      <c r="E38" s="5" t="s">
        <v>26</v>
      </c>
      <c r="F38" s="5">
        <v>10</v>
      </c>
      <c r="G38" s="5">
        <v>8000</v>
      </c>
      <c r="H38" s="5">
        <v>80000</v>
      </c>
      <c r="I38" s="5" t="s">
        <v>32</v>
      </c>
    </row>
    <row r="39" spans="1:9" ht="15" x14ac:dyDescent="0.25">
      <c r="A39" s="5" t="s">
        <v>63</v>
      </c>
      <c r="B39" s="6">
        <v>46122.428668981483</v>
      </c>
      <c r="C39" s="5" t="s">
        <v>7</v>
      </c>
      <c r="D39" s="5" t="s">
        <v>21</v>
      </c>
      <c r="E39" s="5" t="s">
        <v>31</v>
      </c>
      <c r="F39" s="5">
        <v>3</v>
      </c>
      <c r="G39" s="5">
        <v>75000</v>
      </c>
      <c r="H39" s="5">
        <v>225000</v>
      </c>
      <c r="I39" s="5" t="s">
        <v>40</v>
      </c>
    </row>
    <row r="40" spans="1:9" ht="15" x14ac:dyDescent="0.25">
      <c r="A40" s="5" t="s">
        <v>64</v>
      </c>
      <c r="B40" s="6">
        <v>46105.428668981483</v>
      </c>
      <c r="C40" s="5" t="s">
        <v>7</v>
      </c>
      <c r="D40" s="5" t="s">
        <v>21</v>
      </c>
      <c r="E40" s="5" t="s">
        <v>26</v>
      </c>
      <c r="F40" s="5">
        <v>5</v>
      </c>
      <c r="G40" s="5">
        <v>75000</v>
      </c>
      <c r="H40" s="5">
        <v>375000</v>
      </c>
      <c r="I40" s="5" t="s">
        <v>23</v>
      </c>
    </row>
    <row r="41" spans="1:9" ht="15" x14ac:dyDescent="0.25">
      <c r="A41" s="5" t="s">
        <v>64</v>
      </c>
      <c r="B41" s="6">
        <v>46097.428668981483</v>
      </c>
      <c r="C41" s="5" t="s">
        <v>8</v>
      </c>
      <c r="D41" s="5" t="s">
        <v>17</v>
      </c>
      <c r="E41" s="5" t="s">
        <v>18</v>
      </c>
      <c r="F41" s="5">
        <v>3</v>
      </c>
      <c r="G41" s="5">
        <v>8000</v>
      </c>
      <c r="H41" s="5">
        <v>24000</v>
      </c>
      <c r="I41" s="5" t="s">
        <v>40</v>
      </c>
    </row>
  </sheetData>
  <phoneticPr fontId="14" type="noConversion"/>
  <conditionalFormatting sqref="A2:I41">
    <cfRule type="expression" dxfId="14" priority="1">
      <formula>$F2*$G2&lt;&gt;$H2</formula>
    </cfRule>
    <cfRule type="expression" dxfId="13" priority="2">
      <formula>AND($D2="Accessories",$H2&lt;100000)</formula>
    </cfRule>
    <cfRule type="expression" dxfId="12" priority="3">
      <formula>$H2=MAX($H$2:$H$41)</formula>
    </cfRule>
    <cfRule type="expression" dxfId="11" priority="4">
      <formula>B2&gt;=TODAY()-30</formula>
    </cfRule>
    <cfRule type="expression" dxfId="10" priority="5">
      <formula>$I2="Amit"</formula>
    </cfRule>
    <cfRule type="expression" dxfId="9" priority="6">
      <formula>$G2&gt;50000</formula>
    </cfRule>
    <cfRule type="expression" dxfId="8" priority="8">
      <formula>$F2&lt;3</formula>
    </cfRule>
    <cfRule type="expression" dxfId="7" priority="9">
      <formula>$C2="North"</formula>
    </cfRule>
    <cfRule type="expression" dxfId="6" priority="10">
      <formula>$H2&gt;400000</formula>
    </cfRule>
  </conditionalFormatting>
  <conditionalFormatting sqref="A2:J4 A5:I6 A7:J41">
    <cfRule type="expression" dxfId="5" priority="7">
      <formula>AND($E2="Mobile",$F2&gt;5)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"/>
  <sheetViews>
    <sheetView zoomScale="138" workbookViewId="0">
      <selection activeCell="G17" sqref="G17"/>
    </sheetView>
  </sheetViews>
  <sheetFormatPr defaultColWidth="12.5703125" defaultRowHeight="15.75" customHeight="1" x14ac:dyDescent="0.2"/>
  <cols>
    <col min="3" max="3" width="24.85546875" customWidth="1"/>
    <col min="4" max="4" width="18.42578125" customWidth="1"/>
    <col min="5" max="5" width="28.5703125" customWidth="1"/>
  </cols>
  <sheetData>
    <row r="1" spans="1:7" ht="15.75" customHeight="1" x14ac:dyDescent="0.2">
      <c r="A1" s="24" t="s">
        <v>65</v>
      </c>
      <c r="B1" s="7" t="s">
        <v>66</v>
      </c>
      <c r="C1" s="8" t="s">
        <v>67</v>
      </c>
      <c r="D1" s="9" t="s">
        <v>68</v>
      </c>
      <c r="E1" s="9" t="s">
        <v>69</v>
      </c>
      <c r="F1" s="9" t="s">
        <v>70</v>
      </c>
      <c r="G1" s="9" t="s">
        <v>71</v>
      </c>
    </row>
    <row r="2" spans="1:7" ht="15" x14ac:dyDescent="0.25">
      <c r="A2" s="10">
        <v>1</v>
      </c>
      <c r="B2" s="11" t="s">
        <v>72</v>
      </c>
      <c r="C2" s="12" t="s">
        <v>73</v>
      </c>
      <c r="D2" s="13" t="s">
        <v>74</v>
      </c>
      <c r="E2" s="13">
        <v>34</v>
      </c>
      <c r="F2" s="13">
        <v>170</v>
      </c>
      <c r="G2" s="13">
        <v>80</v>
      </c>
    </row>
    <row r="3" spans="1:7" ht="15" x14ac:dyDescent="0.25">
      <c r="A3" s="10">
        <v>2</v>
      </c>
      <c r="B3" s="11" t="s">
        <v>75</v>
      </c>
      <c r="C3" s="12" t="s">
        <v>76</v>
      </c>
      <c r="D3" s="13" t="s">
        <v>74</v>
      </c>
      <c r="E3" s="13">
        <v>23</v>
      </c>
      <c r="F3" s="13">
        <v>171</v>
      </c>
      <c r="G3" s="13">
        <v>62</v>
      </c>
    </row>
    <row r="4" spans="1:7" ht="15" x14ac:dyDescent="0.25">
      <c r="A4" s="10">
        <v>3</v>
      </c>
      <c r="B4" s="11" t="s">
        <v>77</v>
      </c>
      <c r="C4" s="12" t="s">
        <v>78</v>
      </c>
      <c r="D4" s="13" t="s">
        <v>79</v>
      </c>
      <c r="E4" s="13">
        <v>25</v>
      </c>
      <c r="F4" s="13">
        <v>174</v>
      </c>
      <c r="G4" s="13">
        <v>74</v>
      </c>
    </row>
    <row r="5" spans="1:7" ht="15" x14ac:dyDescent="0.25">
      <c r="A5" s="10">
        <v>4</v>
      </c>
      <c r="B5" s="11" t="s">
        <v>80</v>
      </c>
      <c r="C5" s="12" t="s">
        <v>81</v>
      </c>
      <c r="D5" s="13" t="s">
        <v>79</v>
      </c>
      <c r="E5" s="13">
        <v>21</v>
      </c>
      <c r="F5" s="13">
        <v>173</v>
      </c>
      <c r="G5" s="13">
        <v>73</v>
      </c>
    </row>
    <row r="6" spans="1:7" ht="15" x14ac:dyDescent="0.25">
      <c r="A6" s="10">
        <v>5</v>
      </c>
      <c r="B6" s="11" t="s">
        <v>82</v>
      </c>
      <c r="C6" s="12" t="s">
        <v>83</v>
      </c>
      <c r="D6" s="13" t="s">
        <v>79</v>
      </c>
      <c r="E6" s="13">
        <v>20</v>
      </c>
      <c r="F6" s="13">
        <v>178</v>
      </c>
      <c r="G6" s="13">
        <v>78</v>
      </c>
    </row>
    <row r="7" spans="1:7" ht="15" x14ac:dyDescent="0.25">
      <c r="A7" s="10">
        <v>6</v>
      </c>
      <c r="B7" s="11" t="s">
        <v>84</v>
      </c>
      <c r="C7" s="12" t="s">
        <v>85</v>
      </c>
      <c r="D7" s="13" t="s">
        <v>74</v>
      </c>
      <c r="E7" s="14"/>
      <c r="F7" s="13">
        <v>170</v>
      </c>
      <c r="G7" s="13">
        <v>78</v>
      </c>
    </row>
    <row r="8" spans="1:7" ht="15" x14ac:dyDescent="0.25">
      <c r="A8" s="10">
        <v>7</v>
      </c>
      <c r="B8" s="11" t="s">
        <v>86</v>
      </c>
      <c r="C8" s="12" t="s">
        <v>87</v>
      </c>
      <c r="D8" s="13" t="s">
        <v>79</v>
      </c>
      <c r="E8" s="14"/>
      <c r="F8" s="13">
        <v>171</v>
      </c>
      <c r="G8" s="13">
        <v>71</v>
      </c>
    </row>
    <row r="9" spans="1:7" ht="15" x14ac:dyDescent="0.25">
      <c r="A9" s="10">
        <v>8</v>
      </c>
      <c r="B9" s="11" t="s">
        <v>88</v>
      </c>
      <c r="C9" s="12" t="s">
        <v>89</v>
      </c>
      <c r="D9" s="13" t="s">
        <v>79</v>
      </c>
      <c r="E9" s="13">
        <v>22</v>
      </c>
      <c r="F9" s="13">
        <v>174</v>
      </c>
      <c r="G9" s="13">
        <v>73</v>
      </c>
    </row>
    <row r="10" spans="1:7" ht="15" x14ac:dyDescent="0.25">
      <c r="A10" s="10">
        <v>9</v>
      </c>
      <c r="B10" s="11" t="s">
        <v>90</v>
      </c>
      <c r="C10" s="12" t="s">
        <v>91</v>
      </c>
      <c r="D10" s="13" t="s">
        <v>74</v>
      </c>
      <c r="E10" s="13">
        <v>10</v>
      </c>
      <c r="F10" s="13">
        <v>173</v>
      </c>
      <c r="G10" s="13">
        <v>74</v>
      </c>
    </row>
    <row r="11" spans="1:7" ht="15" x14ac:dyDescent="0.25">
      <c r="A11" s="15">
        <v>10</v>
      </c>
      <c r="B11" s="16" t="s">
        <v>92</v>
      </c>
      <c r="C11" s="25" t="s">
        <v>115</v>
      </c>
      <c r="D11" s="13" t="s">
        <v>79</v>
      </c>
      <c r="E11" s="13">
        <v>27</v>
      </c>
      <c r="F11" s="13">
        <v>178</v>
      </c>
      <c r="G11" s="13">
        <v>75</v>
      </c>
    </row>
    <row r="13" spans="1:7" ht="15.75" customHeight="1" x14ac:dyDescent="0.2">
      <c r="D13" s="17" t="s">
        <v>114</v>
      </c>
      <c r="E13" s="21">
        <f>SUM(E2:E11)</f>
        <v>182</v>
      </c>
      <c r="G13" s="18"/>
    </row>
    <row r="14" spans="1:7" ht="15.75" customHeight="1" x14ac:dyDescent="0.2">
      <c r="D14" s="17" t="s">
        <v>93</v>
      </c>
      <c r="E14">
        <f>SUMIF(D2:D11,"M",E2:E11)</f>
        <v>115</v>
      </c>
    </row>
    <row r="15" spans="1:7" ht="15.75" customHeight="1" x14ac:dyDescent="0.2">
      <c r="D15" s="17" t="s">
        <v>94</v>
      </c>
      <c r="E15">
        <f>MIN(E2:E11)</f>
        <v>10</v>
      </c>
    </row>
    <row r="16" spans="1:7" ht="15.75" customHeight="1" x14ac:dyDescent="0.2">
      <c r="D16" s="17" t="s">
        <v>95</v>
      </c>
      <c r="E16">
        <f>MAX(E2:E11)</f>
        <v>34</v>
      </c>
    </row>
    <row r="17" spans="4:5" ht="15.75" customHeight="1" x14ac:dyDescent="0.2">
      <c r="D17" s="17" t="s">
        <v>96</v>
      </c>
      <c r="E17">
        <f>AVERAGE(E2:E11)</f>
        <v>22.75</v>
      </c>
    </row>
    <row r="18" spans="4:5" ht="15.75" customHeight="1" x14ac:dyDescent="0.2">
      <c r="D18" s="17" t="s">
        <v>97</v>
      </c>
      <c r="E18">
        <f>COUNT(E2:E11)</f>
        <v>8</v>
      </c>
    </row>
    <row r="19" spans="4:5" ht="15.75" customHeight="1" x14ac:dyDescent="0.2">
      <c r="D19" s="22" t="s">
        <v>98</v>
      </c>
      <c r="E19">
        <f>COUNTBLANK(E2:E11)</f>
        <v>2</v>
      </c>
    </row>
    <row r="20" spans="4:5" ht="15.75" customHeight="1" x14ac:dyDescent="0.2">
      <c r="D20" s="17" t="s">
        <v>99</v>
      </c>
      <c r="E20">
        <f>POWER(E2,2)</f>
        <v>1156</v>
      </c>
    </row>
    <row r="21" spans="4:5" ht="15.75" customHeight="1" x14ac:dyDescent="0.2">
      <c r="D21" s="17" t="s">
        <v>100</v>
      </c>
      <c r="E21" t="str">
        <f>_xlfn.CONCAT(C2," - ",D2)</f>
        <v>Sneha Ajaykumar Shukla - F</v>
      </c>
    </row>
    <row r="22" spans="4:5" ht="15.75" customHeight="1" x14ac:dyDescent="0.2">
      <c r="D22" s="17" t="s">
        <v>101</v>
      </c>
      <c r="E22" t="str">
        <f>TRIM(C2)</f>
        <v>Sneha Ajaykumar Shukla</v>
      </c>
    </row>
    <row r="23" spans="4:5" ht="15.75" customHeight="1" x14ac:dyDescent="0.2">
      <c r="D23" s="17" t="s">
        <v>102</v>
      </c>
      <c r="E23" t="str">
        <f>REPLACE(C11,1,5,"Hello")</f>
        <v>Hellov Jadhav</v>
      </c>
    </row>
    <row r="24" spans="4:5" ht="15.75" customHeight="1" x14ac:dyDescent="0.2">
      <c r="D24" s="17" t="s">
        <v>103</v>
      </c>
      <c r="E24" t="str">
        <f>LEFT(B2,4)</f>
        <v>AF04</v>
      </c>
    </row>
    <row r="25" spans="4:5" ht="15.75" customHeight="1" x14ac:dyDescent="0.2">
      <c r="D25" s="17" t="s">
        <v>104</v>
      </c>
      <c r="E25" t="str">
        <f>MID(B2,3,5)</f>
        <v>04146</v>
      </c>
    </row>
    <row r="26" spans="4:5" ht="15.75" customHeight="1" x14ac:dyDescent="0.2">
      <c r="D26" s="17" t="s">
        <v>105</v>
      </c>
      <c r="E26" t="str">
        <f>RIGHT(B2,4)</f>
        <v>4608</v>
      </c>
    </row>
    <row r="27" spans="4:5" ht="15.75" customHeight="1" x14ac:dyDescent="0.2">
      <c r="D27" s="17" t="s">
        <v>106</v>
      </c>
      <c r="E27" t="str">
        <f>UPPER(C2)</f>
        <v>SNEHA AJAYKUMAR SHUKLA</v>
      </c>
    </row>
    <row r="28" spans="4:5" ht="15.75" customHeight="1" x14ac:dyDescent="0.2">
      <c r="D28" s="17" t="s">
        <v>107</v>
      </c>
      <c r="E28" t="str">
        <f>LOWER(C2)</f>
        <v>sneha ajaykumar shukla</v>
      </c>
    </row>
    <row r="29" spans="4:5" ht="15.75" customHeight="1" x14ac:dyDescent="0.2">
      <c r="D29" s="17" t="s">
        <v>108</v>
      </c>
      <c r="E29" s="19">
        <f>DATE(2026,5,15)</f>
        <v>46157</v>
      </c>
    </row>
    <row r="30" spans="4:5" ht="15.75" customHeight="1" x14ac:dyDescent="0.2">
      <c r="D30" s="17" t="s">
        <v>109</v>
      </c>
      <c r="E30">
        <f ca="1">SECOND(NOW())</f>
        <v>48</v>
      </c>
    </row>
    <row r="31" spans="4:5" ht="15.75" customHeight="1" x14ac:dyDescent="0.2">
      <c r="D31" s="17" t="s">
        <v>110</v>
      </c>
      <c r="E31">
        <f ca="1">DAY(TODAY())</f>
        <v>17</v>
      </c>
    </row>
    <row r="32" spans="4:5" ht="15.75" customHeight="1" x14ac:dyDescent="0.2">
      <c r="D32" s="17" t="s">
        <v>111</v>
      </c>
      <c r="E32">
        <f ca="1">MONTH(TODAY())</f>
        <v>5</v>
      </c>
    </row>
    <row r="33" spans="4:5" ht="15.75" customHeight="1" x14ac:dyDescent="0.2">
      <c r="D33" s="17" t="s">
        <v>112</v>
      </c>
      <c r="E33">
        <f ca="1">YEAR(TODAY())</f>
        <v>2026</v>
      </c>
    </row>
    <row r="34" spans="4:5" ht="15.75" customHeight="1" x14ac:dyDescent="0.2">
      <c r="D34" s="17" t="s">
        <v>113</v>
      </c>
      <c r="E34" t="str">
        <f>IF(E2&gt;=18,"Adult","Minor")</f>
        <v>Adult</v>
      </c>
    </row>
  </sheetData>
  <hyperlinks>
    <hyperlink ref="A1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VINIT SALUNKHE</cp:lastModifiedBy>
  <dcterms:created xsi:type="dcterms:W3CDTF">2026-05-14T08:07:49Z</dcterms:created>
  <dcterms:modified xsi:type="dcterms:W3CDTF">2026-05-17T12:53:26Z</dcterms:modified>
</cp:coreProperties>
</file>