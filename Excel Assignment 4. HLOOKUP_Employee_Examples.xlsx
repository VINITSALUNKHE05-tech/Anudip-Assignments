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Documents/Anudip Faundation Labs/"/>
    </mc:Choice>
  </mc:AlternateContent>
  <xr:revisionPtr revIDLastSave="0" documentId="8_{99A99844-10CC-48B3-929B-0C2119F39F69}" xr6:coauthVersionLast="47" xr6:coauthVersionMax="47" xr10:uidLastSave="{00000000-0000-0000-0000-000000000000}"/>
  <bookViews>
    <workbookView xWindow="15540" yWindow="1230" windowWidth="13305" windowHeight="11295" xr2:uid="{00000000-000D-0000-FFFF-FFFF00000000}"/>
  </bookViews>
  <sheets>
    <sheet name="Employee_H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<sst xmlns="http://schemas.openxmlformats.org/spreadsheetml/2006/main" count="23" uniqueCount="23">
  <si>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</si>
  <si>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</si>
  <si>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</si>
  <si>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</si>
  <si>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</si>
  <si>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</si>
  <si>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</si>
  <si>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</si>
  <si>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</si>
  <si>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</si>
  <si>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</si>
  <si>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Sham</t>
  </si>
  <si>
    <t>Sagar</t>
  </si>
  <si>
    <t>Rohan</t>
  </si>
  <si>
    <t>Priya</t>
  </si>
  <si>
    <t>Sanika</t>
  </si>
  <si>
    <t>2. Find sham salary in May</t>
  </si>
  <si>
    <t>3. Find sagar salary in February</t>
  </si>
  <si>
    <t>4. Find total salary of Rohan</t>
  </si>
  <si>
    <t>5. Find maximum salary of Sanika</t>
  </si>
  <si>
    <t>1. Find Ram salary in March</t>
  </si>
  <si>
    <t>6. Find minimum salary of Rohan</t>
  </si>
  <si>
    <t>7. Find average salary of 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</si>
</sst>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70" zoomScaleNormal="70" workbookViewId="0">
      <selection activeCell="G17" sqref="G17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26.7109375" customWidth="1"/>
    <col min="10" max="10" width="18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1" t="s">
        <v>6</v>
      </c>
    </row>
    <row r="2" spans="1:10" x14ac:dyDescent="0.25">
      <c r="A2" s="2" t="s">
        <v>13</v>
      </c>
      <c r="B2" s="2">
        <v>45000</v>
      </c>
      <c r="C2" s="2">
        <v>46000</v>
      </c>
      <c r="D2" s="2">
        <v>47000</v>
      </c>
      <c r="E2" s="2">
        <v>48000</v>
      </c>
      <c r="F2" s="2">
        <v>49000</v>
      </c>
      <c r="H2" s="1" t="s">
        <v>7</v>
      </c>
      <c r="I2" s="3" t="s">
        <v>8</v>
      </c>
      <c r="J2" s="3" t="s">
        <v>9</v>
      </c>
    </row>
    <row r="3" spans="1:10" x14ac:dyDescent="0.25">
      <c r="A3" s="2" t="s">
        <v>10</v>
      </c>
      <c r="B3" s="2">
        <v>50000</v>
      </c>
      <c r="C3" s="2">
        <v>51000</v>
      </c>
      <c r="D3" s="2">
        <v>52000</v>
      </c>
      <c r="E3" s="2">
        <v>53000</v>
      </c>
      <c r="F3" s="2">
        <v>54000</v>
      </c>
      <c r="H3" t="s">
        <v>20</v>
      </c>
      <c r="I3" s="2">
        <f>HLOOKUP("Mar",A1:F7,3,FALSE)</f>
        <v>52000</v>
      </c>
      <c r="J3" s="2">
        <v>52000</v>
      </c>
    </row>
    <row r="4" spans="1:10" x14ac:dyDescent="0.25">
      <c r="A4" s="2" t="s">
        <v>12</v>
      </c>
      <c r="B4" s="2">
        <v>42000</v>
      </c>
      <c r="C4" s="2">
        <v>43000</v>
      </c>
      <c r="D4" s="2">
        <v>44000</v>
      </c>
      <c r="E4" s="2">
        <v>45000</v>
      </c>
      <c r="F4" s="2">
        <v>46000</v>
      </c>
      <c r="H4" t="s">
        <v>16</v>
      </c>
      <c r="I4" s="2">
        <f>HLOOKUP("May",A1:F7,5,FALSE)</f>
        <v>59000</v>
      </c>
      <c r="J4" s="2">
        <v>59000</v>
      </c>
    </row>
    <row r="5" spans="1:10" x14ac:dyDescent="0.25">
      <c r="A5" s="2" t="s">
        <v>11</v>
      </c>
      <c r="B5" s="2">
        <v>55000</v>
      </c>
      <c r="C5" s="2">
        <v>56000</v>
      </c>
      <c r="D5" s="2">
        <v>57000</v>
      </c>
      <c r="E5" s="2">
        <v>58000</v>
      </c>
      <c r="F5" s="2">
        <v>59000</v>
      </c>
      <c r="H5" t="s">
        <v>17</v>
      </c>
      <c r="I5" s="2">
        <f>HLOOKUP("Feb",A1:F7,4,FALSE)</f>
        <v>43000</v>
      </c>
      <c r="J5" s="2">
        <v>43000</v>
      </c>
    </row>
    <row r="6" spans="1:10" x14ac:dyDescent="0.25">
      <c r="A6" s="2" t="s">
        <v>15</v>
      </c>
      <c r="B6" s="2">
        <v>47000</v>
      </c>
      <c r="C6" s="2">
        <v>48000</v>
      </c>
      <c r="D6" s="2">
        <v>49000</v>
      </c>
      <c r="E6" s="2">
        <v>50000</v>
      </c>
      <c r="F6" s="2">
        <v>51000</v>
      </c>
      <c r="H6" t="s">
        <v>18</v>
      </c>
      <c r="I6" s="2">
        <f>SUM(HLOOKUP("Jan",A1:F2,2,FALSE),HLOOKUP("Feb",A1:F2,2,FALSE),HLOOKUP("Mar",A1:F2,2,FALSE),HLOOKUP("Apr",A1:F2,2,FALSE),HLOOKUP("May",A1:F2,2,FALSE))</f>
        <v>235000</v>
      </c>
      <c r="J6" s="2">
        <v>235000</v>
      </c>
    </row>
    <row r="7" spans="1:10" x14ac:dyDescent="0.25">
      <c r="A7" s="2" t="s">
        <v>14</v>
      </c>
      <c r="B7" s="2">
        <v>60000</v>
      </c>
      <c r="C7" s="2">
        <v>61000</v>
      </c>
      <c r="D7" s="2">
        <v>62000</v>
      </c>
      <c r="E7" s="2">
        <v>63000</v>
      </c>
      <c r="F7" s="2">
        <v>64000</v>
      </c>
      <c r="H7" t="s">
        <v>19</v>
      </c>
      <c r="I7" s="2">
        <f>MAX(HLOOKUP("Jan",A1:F6,6,FALSE),HLOOKUP("Feb",A1:F6,6,FALSE),HLOOKUP("Mar",A1:F6,6,FALSE),HLOOKUP("Apr",A1:F6,6,FALSE),HLOOKUP("May",A1:F6,6,FALSE))</f>
        <v>51000</v>
      </c>
      <c r="J7" s="2">
        <v>51000</v>
      </c>
    </row>
    <row r="8" spans="1:10" x14ac:dyDescent="0.25">
      <c r="H8" t="s">
        <v>21</v>
      </c>
      <c r="I8" s="2">
        <f>MIN(HLOOKUP("Jan",A1:F2,2,FALSE),HLOOKUP("Feb",A1:F2,2,FALSE),HLOOKUP("Mar",A1:F2,2,FALSE),HLOOKUP("Apr",A1:F2,2,FALSE),HLOOKUP("May",A1:F2,2,FALSE))</f>
        <v>45000</v>
      </c>
      <c r="J8" s="2">
        <v>45000</v>
      </c>
    </row>
    <row r="9" spans="1:10" x14ac:dyDescent="0.25">
      <c r="H9" t="s">
        <v>22</v>
      </c>
      <c r="I9" s="2">
        <f>AVERAGE(HLOOKUP("Jan",A1:F7,7,FALSE),HLOOKUP("Feb",A1:F7,7,FALSE),HLOOKUP("Mar",A1:F7,7,FALSE),HLOOKUP("Apr",A1:F7,7,FALSE),HLOOKUP("May",A1:F7,7,FALSE))</f>
        <v>62000</v>
      </c>
      <c r="J9" s="2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 SALUNKHE</cp:lastModifiedBy>
  <dcterms:created xsi:type="dcterms:W3CDTF">2026-05-19T04:14:53Z</dcterms:created>
  <dcterms:modified xsi:type="dcterms:W3CDTF">2026-05-19T08:09:18Z</dcterms:modified>
</cp:coreProperties>
</file>